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fseng\Documents\Work\Cybersecurity-Lesson-Plans\1-Lesson-Plans\Unit-GRC\2\Activities\02_Risk_Analysis\Solved\"/>
    </mc:Choice>
  </mc:AlternateContent>
  <xr:revisionPtr revIDLastSave="0" documentId="13_ncr:1_{6595608A-B014-4991-A196-BC737CCBC059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Risk Assessment Data" sheetId="1" r:id="rId1"/>
    <sheet name="Risk Matrix" sheetId="3" r:id="rId2"/>
    <sheet name="Heat Map" sheetId="5" r:id="rId3"/>
    <sheet name="Risk Ratings" sheetId="4" r:id="rId4"/>
  </sheets>
  <definedNames>
    <definedName name="_xlnm._FilterDatabase" localSheetId="0" hidden="1">'Risk Assessment Data'!$A$1:$I$100</definedName>
    <definedName name="_xlnm.Print_Area" localSheetId="2">'Heat Map'!$A$1:$S$60</definedName>
    <definedName name="_xlnm.Print_Area" localSheetId="0">'Risk Assessment Data'!$A$1:$H$100</definedName>
    <definedName name="_xlnm.Print_Area" localSheetId="1">'Risk Matrix'!$B$1:$J$10</definedName>
    <definedName name="_xlnm.Print_Area" localSheetId="3">'Risk Ratings'!$A$1:$J$17</definedName>
    <definedName name="_xlnm.Print_Titles" localSheetId="0">'Risk Assessment Data'!$1:$1</definedName>
  </definedNames>
  <calcPr calcId="191029"/>
  <pivotCaches>
    <pivotCache cacheId="123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0" i="1" l="1"/>
  <c r="G10" i="1"/>
  <c r="F10" i="1"/>
  <c r="I9" i="1"/>
  <c r="I8" i="1"/>
  <c r="I7" i="1"/>
  <c r="I6" i="1"/>
  <c r="F9" i="1"/>
  <c r="G9" i="1"/>
  <c r="F8" i="1"/>
  <c r="G8" i="1"/>
  <c r="F7" i="1"/>
  <c r="G7" i="1"/>
  <c r="F6" i="1"/>
  <c r="G6" i="1"/>
  <c r="I5" i="1"/>
  <c r="G5" i="1"/>
  <c r="F5" i="1"/>
  <c r="I4" i="1"/>
  <c r="G4" i="1"/>
  <c r="F4" i="1"/>
  <c r="I3" i="1"/>
  <c r="G3" i="1"/>
  <c r="F3" i="1"/>
  <c r="G2" i="1" l="1"/>
  <c r="F2" i="1"/>
  <c r="H7" i="3" l="1"/>
  <c r="G7" i="3"/>
  <c r="G6" i="3"/>
  <c r="H4" i="3"/>
  <c r="H5" i="3"/>
  <c r="G4" i="3"/>
  <c r="F5" i="3"/>
  <c r="F4" i="3"/>
  <c r="H6" i="3"/>
  <c r="E5" i="3"/>
  <c r="E4" i="3"/>
  <c r="F7" i="3"/>
  <c r="E7" i="3"/>
  <c r="Y52" i="5"/>
  <c r="Y53" i="5"/>
  <c r="Y54" i="5"/>
  <c r="Y55" i="5"/>
  <c r="Y56" i="5"/>
  <c r="Y57" i="5"/>
  <c r="Y58" i="5"/>
  <c r="Y59" i="5"/>
  <c r="Y60" i="5"/>
  <c r="Y61" i="5"/>
  <c r="Y62" i="5"/>
  <c r="Y63" i="5"/>
  <c r="Y64" i="5"/>
  <c r="Y65" i="5"/>
  <c r="Y66" i="5"/>
  <c r="Y67" i="5"/>
  <c r="Y68" i="5"/>
  <c r="Y69" i="5"/>
  <c r="Y70" i="5"/>
  <c r="Y71" i="5"/>
  <c r="Y72" i="5"/>
  <c r="Y73" i="5"/>
  <c r="Y74" i="5"/>
  <c r="Y75" i="5"/>
  <c r="Y51" i="5"/>
  <c r="X21" i="5" l="1"/>
  <c r="X20" i="5"/>
  <c r="X19" i="5"/>
  <c r="X18" i="5"/>
  <c r="X17" i="5"/>
  <c r="X16" i="5"/>
  <c r="X15" i="5"/>
  <c r="X14" i="5"/>
  <c r="W21" i="5"/>
  <c r="W20" i="5"/>
  <c r="W19" i="5"/>
  <c r="W18" i="5"/>
  <c r="W17" i="5"/>
  <c r="W16" i="5"/>
  <c r="W15" i="5"/>
  <c r="W14" i="5"/>
  <c r="BP3" i="5" l="1"/>
  <c r="BQ3" i="5"/>
  <c r="BR3" i="5"/>
  <c r="BS3" i="5"/>
  <c r="BT3" i="5"/>
  <c r="BU3" i="5"/>
  <c r="BV3" i="5"/>
  <c r="BW3" i="5"/>
  <c r="BX3" i="5"/>
  <c r="BY3" i="5"/>
  <c r="BZ3" i="5"/>
  <c r="CA3" i="5"/>
  <c r="CB3" i="5"/>
  <c r="CC3" i="5"/>
  <c r="CD3" i="5"/>
  <c r="CE3" i="5"/>
  <c r="CF3" i="5"/>
  <c r="CG3" i="5"/>
  <c r="CH3" i="5"/>
  <c r="CI3" i="5"/>
  <c r="CJ3" i="5"/>
  <c r="CK3" i="5"/>
  <c r="CL3" i="5"/>
  <c r="CM3" i="5"/>
  <c r="CN3" i="5"/>
  <c r="CO3" i="5"/>
  <c r="CP3" i="5"/>
  <c r="CQ3" i="5"/>
  <c r="CR3" i="5"/>
  <c r="CS3" i="5"/>
  <c r="CT3" i="5"/>
  <c r="CU3" i="5"/>
  <c r="CV3" i="5"/>
  <c r="CW3" i="5"/>
  <c r="CX3" i="5"/>
  <c r="CY3" i="5"/>
  <c r="CZ3" i="5"/>
  <c r="DA3" i="5"/>
  <c r="DB3" i="5"/>
  <c r="DC3" i="5"/>
  <c r="DD3" i="5"/>
  <c r="DE3" i="5"/>
  <c r="DF3" i="5"/>
  <c r="DG3" i="5"/>
  <c r="DH3" i="5"/>
  <c r="DI3" i="5"/>
  <c r="DJ3" i="5"/>
  <c r="DK3" i="5"/>
  <c r="DL3" i="5"/>
  <c r="DM3" i="5"/>
  <c r="DN3" i="5"/>
  <c r="DO3" i="5"/>
  <c r="DP3" i="5"/>
  <c r="DQ3" i="5"/>
  <c r="DR3" i="5"/>
  <c r="DS3" i="5"/>
  <c r="DT3" i="5"/>
  <c r="DU3" i="5"/>
  <c r="DV3" i="5"/>
  <c r="DW3" i="5"/>
  <c r="DX3" i="5"/>
  <c r="DY3" i="5"/>
  <c r="DZ3" i="5"/>
  <c r="EA3" i="5"/>
  <c r="EB3" i="5"/>
  <c r="EC3" i="5"/>
  <c r="ED3" i="5"/>
  <c r="EE3" i="5"/>
  <c r="EF3" i="5"/>
  <c r="EG3" i="5"/>
  <c r="EH3" i="5"/>
  <c r="EI3" i="5"/>
  <c r="EJ3" i="5"/>
  <c r="EK3" i="5"/>
  <c r="EL3" i="5"/>
  <c r="EM3" i="5"/>
  <c r="EN3" i="5"/>
  <c r="EO3" i="5"/>
  <c r="EP3" i="5"/>
  <c r="EQ3" i="5"/>
  <c r="ER3" i="5"/>
  <c r="ES3" i="5"/>
  <c r="ET3" i="5"/>
  <c r="EU3" i="5"/>
  <c r="EV3" i="5"/>
  <c r="EW3" i="5"/>
  <c r="EX3" i="5"/>
  <c r="EY3" i="5"/>
  <c r="EZ3" i="5"/>
  <c r="FA3" i="5"/>
  <c r="FB3" i="5"/>
  <c r="FC3" i="5"/>
  <c r="FD3" i="5"/>
  <c r="FE3" i="5"/>
  <c r="FF3" i="5"/>
  <c r="FG3" i="5"/>
  <c r="FH3" i="5"/>
  <c r="FI3" i="5"/>
  <c r="FJ3" i="5"/>
  <c r="FK3" i="5"/>
  <c r="FL3" i="5"/>
  <c r="FM3" i="5"/>
  <c r="FN3" i="5"/>
  <c r="FO3" i="5"/>
  <c r="FP3" i="5"/>
  <c r="FQ3" i="5"/>
  <c r="FR3" i="5"/>
  <c r="FS3" i="5"/>
  <c r="FT3" i="5"/>
  <c r="FU3" i="5"/>
  <c r="FV3" i="5"/>
  <c r="FW3" i="5"/>
  <c r="FX3" i="5"/>
  <c r="FY3" i="5"/>
  <c r="FZ3" i="5"/>
  <c r="GA3" i="5"/>
  <c r="GB3" i="5"/>
  <c r="GC3" i="5"/>
  <c r="GD3" i="5"/>
  <c r="GE3" i="5"/>
  <c r="GF3" i="5"/>
  <c r="GG3" i="5"/>
  <c r="GH3" i="5"/>
  <c r="GI3" i="5"/>
  <c r="GJ3" i="5"/>
  <c r="GK3" i="5"/>
  <c r="GL3" i="5"/>
  <c r="GM3" i="5"/>
  <c r="GN3" i="5"/>
  <c r="GO3" i="5"/>
  <c r="GP3" i="5"/>
  <c r="GQ3" i="5"/>
  <c r="GR3" i="5"/>
  <c r="GS3" i="5"/>
  <c r="GT3" i="5"/>
  <c r="GU3" i="5"/>
  <c r="GV3" i="5"/>
  <c r="GW3" i="5"/>
  <c r="GX3" i="5"/>
  <c r="GY3" i="5"/>
  <c r="GZ3" i="5"/>
  <c r="HA3" i="5"/>
  <c r="HB3" i="5"/>
  <c r="HC3" i="5"/>
  <c r="HD3" i="5"/>
  <c r="HE3" i="5"/>
  <c r="HF3" i="5"/>
  <c r="HG3" i="5"/>
  <c r="HH3" i="5"/>
  <c r="HI3" i="5"/>
  <c r="HJ3" i="5"/>
  <c r="HK3" i="5"/>
  <c r="HL3" i="5"/>
  <c r="HM3" i="5"/>
  <c r="HN3" i="5"/>
  <c r="HO3" i="5"/>
  <c r="HP3" i="5"/>
  <c r="HQ3" i="5"/>
  <c r="HR3" i="5"/>
  <c r="HS3" i="5"/>
  <c r="HT3" i="5"/>
  <c r="HU3" i="5"/>
  <c r="HV3" i="5"/>
  <c r="HW3" i="5"/>
  <c r="HX3" i="5"/>
  <c r="HY3" i="5"/>
  <c r="HZ3" i="5"/>
  <c r="IA3" i="5"/>
  <c r="IB3" i="5"/>
  <c r="IC3" i="5"/>
  <c r="ID3" i="5"/>
  <c r="IE3" i="5"/>
  <c r="IF3" i="5"/>
  <c r="IG3" i="5"/>
  <c r="IH3" i="5"/>
  <c r="II3" i="5"/>
  <c r="IJ3" i="5"/>
  <c r="IK3" i="5"/>
  <c r="IL3" i="5"/>
  <c r="IM3" i="5"/>
  <c r="IN3" i="5"/>
  <c r="IO3" i="5"/>
  <c r="IP3" i="5"/>
  <c r="IQ3" i="5"/>
  <c r="IR3" i="5"/>
  <c r="IS3" i="5"/>
  <c r="IT3" i="5"/>
  <c r="IU3" i="5"/>
  <c r="IV3" i="5"/>
  <c r="IW3" i="5"/>
  <c r="IX3" i="5"/>
  <c r="IY3" i="5"/>
  <c r="IZ3" i="5"/>
  <c r="JA3" i="5"/>
  <c r="JB3" i="5"/>
  <c r="JC3" i="5"/>
  <c r="JD3" i="5"/>
  <c r="JE3" i="5"/>
  <c r="JF3" i="5"/>
  <c r="JG3" i="5"/>
  <c r="JH3" i="5"/>
  <c r="JI3" i="5"/>
  <c r="JJ3" i="5"/>
  <c r="JK3" i="5"/>
  <c r="JL3" i="5"/>
  <c r="JM3" i="5"/>
  <c r="JN3" i="5"/>
  <c r="JO3" i="5"/>
  <c r="JP3" i="5"/>
  <c r="JQ3" i="5"/>
  <c r="JR3" i="5"/>
  <c r="JS3" i="5"/>
  <c r="JT3" i="5"/>
  <c r="JU3" i="5"/>
  <c r="JV3" i="5"/>
  <c r="JW3" i="5"/>
  <c r="JX3" i="5"/>
  <c r="JY3" i="5"/>
  <c r="JZ3" i="5"/>
  <c r="KA3" i="5"/>
  <c r="KB3" i="5"/>
  <c r="KC3" i="5"/>
  <c r="KD3" i="5"/>
  <c r="KE3" i="5"/>
  <c r="KF3" i="5"/>
  <c r="KG3" i="5"/>
  <c r="KH3" i="5"/>
  <c r="KI3" i="5"/>
  <c r="KJ3" i="5"/>
  <c r="KK3" i="5"/>
  <c r="KL3" i="5"/>
  <c r="KM3" i="5"/>
  <c r="KN3" i="5"/>
  <c r="KO3" i="5"/>
  <c r="KP3" i="5"/>
  <c r="KQ3" i="5"/>
  <c r="KR3" i="5"/>
  <c r="KS3" i="5"/>
  <c r="KT3" i="5"/>
  <c r="KU3" i="5"/>
  <c r="KV3" i="5"/>
  <c r="KW3" i="5"/>
  <c r="KX3" i="5"/>
  <c r="KY3" i="5"/>
  <c r="KZ3" i="5"/>
  <c r="LA3" i="5"/>
  <c r="LB3" i="5"/>
  <c r="LC3" i="5"/>
  <c r="LD3" i="5"/>
  <c r="LE3" i="5"/>
  <c r="LF3" i="5"/>
  <c r="LG3" i="5"/>
  <c r="LH3" i="5"/>
  <c r="LI3" i="5"/>
  <c r="LJ3" i="5"/>
  <c r="LK3" i="5"/>
  <c r="LL3" i="5"/>
  <c r="LM3" i="5"/>
  <c r="LN3" i="5"/>
  <c r="LO3" i="5"/>
  <c r="LP3" i="5"/>
  <c r="LQ3" i="5"/>
  <c r="LR3" i="5"/>
  <c r="LS3" i="5"/>
  <c r="LT3" i="5"/>
  <c r="LU3" i="5"/>
  <c r="LV3" i="5"/>
  <c r="LW3" i="5"/>
  <c r="LX3" i="5"/>
  <c r="LY3" i="5"/>
  <c r="LZ3" i="5"/>
  <c r="MA3" i="5"/>
  <c r="MB3" i="5"/>
  <c r="MC3" i="5"/>
  <c r="MD3" i="5"/>
  <c r="ME3" i="5"/>
  <c r="MF3" i="5"/>
  <c r="MG3" i="5"/>
  <c r="AU3" i="5"/>
  <c r="AV3" i="5"/>
  <c r="AW3" i="5"/>
  <c r="AX3" i="5"/>
  <c r="AY3" i="5"/>
  <c r="AZ3" i="5"/>
  <c r="BA3" i="5"/>
  <c r="BB3" i="5"/>
  <c r="BC3" i="5"/>
  <c r="BD3" i="5"/>
  <c r="BE3" i="5"/>
  <c r="BF3" i="5"/>
  <c r="BG3" i="5"/>
  <c r="BH3" i="5"/>
  <c r="BI3" i="5"/>
  <c r="BJ3" i="5"/>
  <c r="BK3" i="5"/>
  <c r="BL3" i="5"/>
  <c r="BM3" i="5"/>
  <c r="BN3" i="5"/>
  <c r="BO3" i="5"/>
  <c r="AT3" i="5"/>
  <c r="AU22" i="5"/>
  <c r="AV22" i="5"/>
  <c r="AW22" i="5"/>
  <c r="AX22" i="5"/>
  <c r="AY22" i="5"/>
  <c r="AZ22" i="5"/>
  <c r="BA22" i="5"/>
  <c r="BB22" i="5"/>
  <c r="BC22" i="5"/>
  <c r="BD22" i="5"/>
  <c r="BE22" i="5"/>
  <c r="BF22" i="5"/>
  <c r="BG22" i="5"/>
  <c r="BH22" i="5"/>
  <c r="BI22" i="5"/>
  <c r="BJ22" i="5"/>
  <c r="BK22" i="5"/>
  <c r="BL22" i="5"/>
  <c r="BM22" i="5"/>
  <c r="BN22" i="5"/>
  <c r="BO22" i="5"/>
  <c r="BP22" i="5"/>
  <c r="BQ22" i="5"/>
  <c r="BR22" i="5"/>
  <c r="BS22" i="5"/>
  <c r="BT22" i="5"/>
  <c r="BU22" i="5"/>
  <c r="BV22" i="5"/>
  <c r="BW22" i="5"/>
  <c r="BX22" i="5"/>
  <c r="BY22" i="5"/>
  <c r="BZ22" i="5"/>
  <c r="CA22" i="5"/>
  <c r="CB22" i="5"/>
  <c r="CC22" i="5"/>
  <c r="CD22" i="5"/>
  <c r="CE22" i="5"/>
  <c r="CF22" i="5"/>
  <c r="CG22" i="5"/>
  <c r="CH22" i="5"/>
  <c r="CI22" i="5"/>
  <c r="CJ22" i="5"/>
  <c r="CK22" i="5"/>
  <c r="CL22" i="5"/>
  <c r="CM22" i="5"/>
  <c r="CN22" i="5"/>
  <c r="CO22" i="5"/>
  <c r="CP22" i="5"/>
  <c r="CQ22" i="5"/>
  <c r="CR22" i="5"/>
  <c r="CS22" i="5"/>
  <c r="CT22" i="5"/>
  <c r="CU22" i="5"/>
  <c r="CV22" i="5"/>
  <c r="CW22" i="5"/>
  <c r="CX22" i="5"/>
  <c r="CY22" i="5"/>
  <c r="CZ22" i="5"/>
  <c r="DA22" i="5"/>
  <c r="DB22" i="5"/>
  <c r="DC22" i="5"/>
  <c r="DD22" i="5"/>
  <c r="DE22" i="5"/>
  <c r="DF22" i="5"/>
  <c r="DG22" i="5"/>
  <c r="DH22" i="5"/>
  <c r="DI22" i="5"/>
  <c r="DJ22" i="5"/>
  <c r="DK22" i="5"/>
  <c r="DL22" i="5"/>
  <c r="DM22" i="5"/>
  <c r="DN22" i="5"/>
  <c r="DO22" i="5"/>
  <c r="DP22" i="5"/>
  <c r="DQ22" i="5"/>
  <c r="DR22" i="5"/>
  <c r="DS22" i="5"/>
  <c r="DT22" i="5"/>
  <c r="DU22" i="5"/>
  <c r="DV22" i="5"/>
  <c r="DW22" i="5"/>
  <c r="DX22" i="5"/>
  <c r="DY22" i="5"/>
  <c r="DZ22" i="5"/>
  <c r="EA22" i="5"/>
  <c r="EB22" i="5"/>
  <c r="EC22" i="5"/>
  <c r="ED22" i="5"/>
  <c r="EE22" i="5"/>
  <c r="EF22" i="5"/>
  <c r="EG22" i="5"/>
  <c r="EH22" i="5"/>
  <c r="EI22" i="5"/>
  <c r="EJ22" i="5"/>
  <c r="EK22" i="5"/>
  <c r="EL22" i="5"/>
  <c r="EM22" i="5"/>
  <c r="EN22" i="5"/>
  <c r="EO22" i="5"/>
  <c r="EP22" i="5"/>
  <c r="EQ22" i="5"/>
  <c r="ER22" i="5"/>
  <c r="ES22" i="5"/>
  <c r="ET22" i="5"/>
  <c r="EU22" i="5"/>
  <c r="EV22" i="5"/>
  <c r="EW22" i="5"/>
  <c r="EX22" i="5"/>
  <c r="EY22" i="5"/>
  <c r="EZ22" i="5"/>
  <c r="FA22" i="5"/>
  <c r="FB22" i="5"/>
  <c r="FC22" i="5"/>
  <c r="FD22" i="5"/>
  <c r="FE22" i="5"/>
  <c r="FF22" i="5"/>
  <c r="FG22" i="5"/>
  <c r="FH22" i="5"/>
  <c r="FI22" i="5"/>
  <c r="FJ22" i="5"/>
  <c r="FK22" i="5"/>
  <c r="FL22" i="5"/>
  <c r="FM22" i="5"/>
  <c r="FN22" i="5"/>
  <c r="FO22" i="5"/>
  <c r="FP22" i="5"/>
  <c r="FQ22" i="5"/>
  <c r="FR22" i="5"/>
  <c r="FS22" i="5"/>
  <c r="FT22" i="5"/>
  <c r="FU22" i="5"/>
  <c r="FV22" i="5"/>
  <c r="FW22" i="5"/>
  <c r="FX22" i="5"/>
  <c r="FY22" i="5"/>
  <c r="FZ22" i="5"/>
  <c r="GA22" i="5"/>
  <c r="GB22" i="5"/>
  <c r="GC22" i="5"/>
  <c r="GD22" i="5"/>
  <c r="GE22" i="5"/>
  <c r="GF22" i="5"/>
  <c r="GG22" i="5"/>
  <c r="GH22" i="5"/>
  <c r="GI22" i="5"/>
  <c r="GJ22" i="5"/>
  <c r="GK22" i="5"/>
  <c r="GL22" i="5"/>
  <c r="GM22" i="5"/>
  <c r="GN22" i="5"/>
  <c r="GO22" i="5"/>
  <c r="GP22" i="5"/>
  <c r="GQ22" i="5"/>
  <c r="GR22" i="5"/>
  <c r="GS22" i="5"/>
  <c r="GT22" i="5"/>
  <c r="GU22" i="5"/>
  <c r="GV22" i="5"/>
  <c r="GW22" i="5"/>
  <c r="GX22" i="5"/>
  <c r="GY22" i="5"/>
  <c r="GZ22" i="5"/>
  <c r="HA22" i="5"/>
  <c r="HB22" i="5"/>
  <c r="HC22" i="5"/>
  <c r="HD22" i="5"/>
  <c r="HE22" i="5"/>
  <c r="HF22" i="5"/>
  <c r="HG22" i="5"/>
  <c r="HH22" i="5"/>
  <c r="HI22" i="5"/>
  <c r="HJ22" i="5"/>
  <c r="HK22" i="5"/>
  <c r="HL22" i="5"/>
  <c r="HM22" i="5"/>
  <c r="HN22" i="5"/>
  <c r="HO22" i="5"/>
  <c r="HP22" i="5"/>
  <c r="HQ22" i="5"/>
  <c r="HR22" i="5"/>
  <c r="HS22" i="5"/>
  <c r="HT22" i="5"/>
  <c r="HU22" i="5"/>
  <c r="HV22" i="5"/>
  <c r="HW22" i="5"/>
  <c r="HX22" i="5"/>
  <c r="HY22" i="5"/>
  <c r="HZ22" i="5"/>
  <c r="IA22" i="5"/>
  <c r="IB22" i="5"/>
  <c r="IC22" i="5"/>
  <c r="ID22" i="5"/>
  <c r="IE22" i="5"/>
  <c r="IF22" i="5"/>
  <c r="IG22" i="5"/>
  <c r="IH22" i="5"/>
  <c r="II22" i="5"/>
  <c r="IJ22" i="5"/>
  <c r="IK22" i="5"/>
  <c r="IL22" i="5"/>
  <c r="IM22" i="5"/>
  <c r="IN22" i="5"/>
  <c r="IO22" i="5"/>
  <c r="IP22" i="5"/>
  <c r="IQ22" i="5"/>
  <c r="IR22" i="5"/>
  <c r="IS22" i="5"/>
  <c r="IT22" i="5"/>
  <c r="IU22" i="5"/>
  <c r="IV22" i="5"/>
  <c r="IW22" i="5"/>
  <c r="IX22" i="5"/>
  <c r="IY22" i="5"/>
  <c r="IZ22" i="5"/>
  <c r="JA22" i="5"/>
  <c r="JB22" i="5"/>
  <c r="JC22" i="5"/>
  <c r="JD22" i="5"/>
  <c r="JE22" i="5"/>
  <c r="JF22" i="5"/>
  <c r="JG22" i="5"/>
  <c r="JH22" i="5"/>
  <c r="JI22" i="5"/>
  <c r="JJ22" i="5"/>
  <c r="JK22" i="5"/>
  <c r="JL22" i="5"/>
  <c r="JM22" i="5"/>
  <c r="JN22" i="5"/>
  <c r="JO22" i="5"/>
  <c r="JP22" i="5"/>
  <c r="JQ22" i="5"/>
  <c r="JR22" i="5"/>
  <c r="JS22" i="5"/>
  <c r="JT22" i="5"/>
  <c r="JU22" i="5"/>
  <c r="JV22" i="5"/>
  <c r="JW22" i="5"/>
  <c r="JX22" i="5"/>
  <c r="JY22" i="5"/>
  <c r="JZ22" i="5"/>
  <c r="KA22" i="5"/>
  <c r="KB22" i="5"/>
  <c r="KC22" i="5"/>
  <c r="KD22" i="5"/>
  <c r="KE22" i="5"/>
  <c r="KF22" i="5"/>
  <c r="KG22" i="5"/>
  <c r="KH22" i="5"/>
  <c r="KI22" i="5"/>
  <c r="KJ22" i="5"/>
  <c r="KK22" i="5"/>
  <c r="KL22" i="5"/>
  <c r="KM22" i="5"/>
  <c r="KN22" i="5"/>
  <c r="KO22" i="5"/>
  <c r="KP22" i="5"/>
  <c r="KQ22" i="5"/>
  <c r="KR22" i="5"/>
  <c r="KS22" i="5"/>
  <c r="KT22" i="5"/>
  <c r="KU22" i="5"/>
  <c r="KV22" i="5"/>
  <c r="KW22" i="5"/>
  <c r="KX22" i="5"/>
  <c r="KY22" i="5"/>
  <c r="KZ22" i="5"/>
  <c r="LA22" i="5"/>
  <c r="LB22" i="5"/>
  <c r="LC22" i="5"/>
  <c r="LD22" i="5"/>
  <c r="LE22" i="5"/>
  <c r="LF22" i="5"/>
  <c r="LG22" i="5"/>
  <c r="LH22" i="5"/>
  <c r="LI22" i="5"/>
  <c r="LJ22" i="5"/>
  <c r="LK22" i="5"/>
  <c r="LL22" i="5"/>
  <c r="LM22" i="5"/>
  <c r="LN22" i="5"/>
  <c r="LO22" i="5"/>
  <c r="LP22" i="5"/>
  <c r="LQ22" i="5"/>
  <c r="LR22" i="5"/>
  <c r="LS22" i="5"/>
  <c r="LT22" i="5"/>
  <c r="LU22" i="5"/>
  <c r="LV22" i="5"/>
  <c r="LW22" i="5"/>
  <c r="LX22" i="5"/>
  <c r="LY22" i="5"/>
  <c r="LZ22" i="5"/>
  <c r="MA22" i="5"/>
  <c r="MB22" i="5"/>
  <c r="MC22" i="5"/>
  <c r="MD22" i="5"/>
  <c r="ME22" i="5"/>
  <c r="MF22" i="5"/>
  <c r="MG22" i="5"/>
  <c r="AU23" i="5"/>
  <c r="AV23" i="5"/>
  <c r="AW23" i="5"/>
  <c r="AX23" i="5"/>
  <c r="AY23" i="5"/>
  <c r="AZ23" i="5"/>
  <c r="BA23" i="5"/>
  <c r="BB23" i="5"/>
  <c r="BC23" i="5"/>
  <c r="BD23" i="5"/>
  <c r="BE23" i="5"/>
  <c r="BF23" i="5"/>
  <c r="BG23" i="5"/>
  <c r="BH23" i="5"/>
  <c r="BI23" i="5"/>
  <c r="BJ23" i="5"/>
  <c r="BK23" i="5"/>
  <c r="BL23" i="5"/>
  <c r="BM23" i="5"/>
  <c r="BN23" i="5"/>
  <c r="BO23" i="5"/>
  <c r="BP23" i="5"/>
  <c r="BQ23" i="5"/>
  <c r="BR23" i="5"/>
  <c r="BS23" i="5"/>
  <c r="BT23" i="5"/>
  <c r="BU23" i="5"/>
  <c r="BV23" i="5"/>
  <c r="BW23" i="5"/>
  <c r="BX23" i="5"/>
  <c r="BY23" i="5"/>
  <c r="BZ23" i="5"/>
  <c r="CA23" i="5"/>
  <c r="CB23" i="5"/>
  <c r="CC23" i="5"/>
  <c r="CD23" i="5"/>
  <c r="CE23" i="5"/>
  <c r="CF23" i="5"/>
  <c r="CG23" i="5"/>
  <c r="CH23" i="5"/>
  <c r="CI23" i="5"/>
  <c r="CJ23" i="5"/>
  <c r="CK23" i="5"/>
  <c r="CL23" i="5"/>
  <c r="CM23" i="5"/>
  <c r="CN23" i="5"/>
  <c r="CO23" i="5"/>
  <c r="CP23" i="5"/>
  <c r="CQ23" i="5"/>
  <c r="CR23" i="5"/>
  <c r="CS23" i="5"/>
  <c r="CT23" i="5"/>
  <c r="CU23" i="5"/>
  <c r="CV23" i="5"/>
  <c r="CW23" i="5"/>
  <c r="CX23" i="5"/>
  <c r="CY23" i="5"/>
  <c r="CZ23" i="5"/>
  <c r="DA23" i="5"/>
  <c r="DB23" i="5"/>
  <c r="DC23" i="5"/>
  <c r="DD23" i="5"/>
  <c r="DE23" i="5"/>
  <c r="DF23" i="5"/>
  <c r="DG23" i="5"/>
  <c r="DH23" i="5"/>
  <c r="DI23" i="5"/>
  <c r="DJ23" i="5"/>
  <c r="DK23" i="5"/>
  <c r="DL23" i="5"/>
  <c r="DM23" i="5"/>
  <c r="DN23" i="5"/>
  <c r="DO23" i="5"/>
  <c r="DP23" i="5"/>
  <c r="DQ23" i="5"/>
  <c r="DR23" i="5"/>
  <c r="DS23" i="5"/>
  <c r="DT23" i="5"/>
  <c r="DU23" i="5"/>
  <c r="DV23" i="5"/>
  <c r="DW23" i="5"/>
  <c r="DX23" i="5"/>
  <c r="DY23" i="5"/>
  <c r="DZ23" i="5"/>
  <c r="EA23" i="5"/>
  <c r="EB23" i="5"/>
  <c r="EC23" i="5"/>
  <c r="ED23" i="5"/>
  <c r="EE23" i="5"/>
  <c r="EF23" i="5"/>
  <c r="EG23" i="5"/>
  <c r="EH23" i="5"/>
  <c r="EI23" i="5"/>
  <c r="EJ23" i="5"/>
  <c r="EK23" i="5"/>
  <c r="EL23" i="5"/>
  <c r="EM23" i="5"/>
  <c r="EN23" i="5"/>
  <c r="EO23" i="5"/>
  <c r="EP23" i="5"/>
  <c r="EQ23" i="5"/>
  <c r="ER23" i="5"/>
  <c r="ES23" i="5"/>
  <c r="ET23" i="5"/>
  <c r="EU23" i="5"/>
  <c r="EV23" i="5"/>
  <c r="EW23" i="5"/>
  <c r="EX23" i="5"/>
  <c r="EY23" i="5"/>
  <c r="EZ23" i="5"/>
  <c r="FA23" i="5"/>
  <c r="FB23" i="5"/>
  <c r="FC23" i="5"/>
  <c r="FD23" i="5"/>
  <c r="FE23" i="5"/>
  <c r="FF23" i="5"/>
  <c r="FG23" i="5"/>
  <c r="FH23" i="5"/>
  <c r="FI23" i="5"/>
  <c r="FJ23" i="5"/>
  <c r="FK23" i="5"/>
  <c r="FL23" i="5"/>
  <c r="FM23" i="5"/>
  <c r="FN23" i="5"/>
  <c r="FO23" i="5"/>
  <c r="FP23" i="5"/>
  <c r="FQ23" i="5"/>
  <c r="FR23" i="5"/>
  <c r="FS23" i="5"/>
  <c r="FT23" i="5"/>
  <c r="FU23" i="5"/>
  <c r="FV23" i="5"/>
  <c r="FW23" i="5"/>
  <c r="FX23" i="5"/>
  <c r="FY23" i="5"/>
  <c r="FZ23" i="5"/>
  <c r="GA23" i="5"/>
  <c r="GB23" i="5"/>
  <c r="GC23" i="5"/>
  <c r="GD23" i="5"/>
  <c r="GE23" i="5"/>
  <c r="GF23" i="5"/>
  <c r="GG23" i="5"/>
  <c r="GH23" i="5"/>
  <c r="GI23" i="5"/>
  <c r="GJ23" i="5"/>
  <c r="GK23" i="5"/>
  <c r="GL23" i="5"/>
  <c r="GM23" i="5"/>
  <c r="GN23" i="5"/>
  <c r="GO23" i="5"/>
  <c r="GP23" i="5"/>
  <c r="GQ23" i="5"/>
  <c r="GR23" i="5"/>
  <c r="GS23" i="5"/>
  <c r="GT23" i="5"/>
  <c r="GU23" i="5"/>
  <c r="GV23" i="5"/>
  <c r="GW23" i="5"/>
  <c r="GX23" i="5"/>
  <c r="GY23" i="5"/>
  <c r="GZ23" i="5"/>
  <c r="HA23" i="5"/>
  <c r="HB23" i="5"/>
  <c r="HC23" i="5"/>
  <c r="HD23" i="5"/>
  <c r="HE23" i="5"/>
  <c r="HF23" i="5"/>
  <c r="HG23" i="5"/>
  <c r="HH23" i="5"/>
  <c r="HI23" i="5"/>
  <c r="HJ23" i="5"/>
  <c r="HK23" i="5"/>
  <c r="HL23" i="5"/>
  <c r="HM23" i="5"/>
  <c r="HN23" i="5"/>
  <c r="HO23" i="5"/>
  <c r="HP23" i="5"/>
  <c r="HQ23" i="5"/>
  <c r="HR23" i="5"/>
  <c r="HS23" i="5"/>
  <c r="HT23" i="5"/>
  <c r="HU23" i="5"/>
  <c r="HV23" i="5"/>
  <c r="HW23" i="5"/>
  <c r="HX23" i="5"/>
  <c r="HY23" i="5"/>
  <c r="HZ23" i="5"/>
  <c r="IA23" i="5"/>
  <c r="IB23" i="5"/>
  <c r="IC23" i="5"/>
  <c r="ID23" i="5"/>
  <c r="IE23" i="5"/>
  <c r="IF23" i="5"/>
  <c r="IG23" i="5"/>
  <c r="IH23" i="5"/>
  <c r="II23" i="5"/>
  <c r="IJ23" i="5"/>
  <c r="IK23" i="5"/>
  <c r="IL23" i="5"/>
  <c r="IM23" i="5"/>
  <c r="IN23" i="5"/>
  <c r="IO23" i="5"/>
  <c r="IP23" i="5"/>
  <c r="IQ23" i="5"/>
  <c r="IR23" i="5"/>
  <c r="IS23" i="5"/>
  <c r="IT23" i="5"/>
  <c r="IU23" i="5"/>
  <c r="IV23" i="5"/>
  <c r="IW23" i="5"/>
  <c r="IX23" i="5"/>
  <c r="IY23" i="5"/>
  <c r="IZ23" i="5"/>
  <c r="JA23" i="5"/>
  <c r="JB23" i="5"/>
  <c r="JC23" i="5"/>
  <c r="JD23" i="5"/>
  <c r="JE23" i="5"/>
  <c r="JF23" i="5"/>
  <c r="JG23" i="5"/>
  <c r="JH23" i="5"/>
  <c r="JI23" i="5"/>
  <c r="JJ23" i="5"/>
  <c r="JK23" i="5"/>
  <c r="JL23" i="5"/>
  <c r="JM23" i="5"/>
  <c r="JN23" i="5"/>
  <c r="JO23" i="5"/>
  <c r="JP23" i="5"/>
  <c r="JQ23" i="5"/>
  <c r="JR23" i="5"/>
  <c r="JS23" i="5"/>
  <c r="JT23" i="5"/>
  <c r="JU23" i="5"/>
  <c r="JV23" i="5"/>
  <c r="JW23" i="5"/>
  <c r="JX23" i="5"/>
  <c r="JY23" i="5"/>
  <c r="JZ23" i="5"/>
  <c r="KA23" i="5"/>
  <c r="KB23" i="5"/>
  <c r="KC23" i="5"/>
  <c r="KD23" i="5"/>
  <c r="KE23" i="5"/>
  <c r="KF23" i="5"/>
  <c r="KG23" i="5"/>
  <c r="KH23" i="5"/>
  <c r="KI23" i="5"/>
  <c r="KJ23" i="5"/>
  <c r="KK23" i="5"/>
  <c r="KL23" i="5"/>
  <c r="KM23" i="5"/>
  <c r="KN23" i="5"/>
  <c r="KO23" i="5"/>
  <c r="KP23" i="5"/>
  <c r="KQ23" i="5"/>
  <c r="KR23" i="5"/>
  <c r="KS23" i="5"/>
  <c r="KT23" i="5"/>
  <c r="KU23" i="5"/>
  <c r="KV23" i="5"/>
  <c r="KW23" i="5"/>
  <c r="KX23" i="5"/>
  <c r="KY23" i="5"/>
  <c r="KZ23" i="5"/>
  <c r="LA23" i="5"/>
  <c r="LB23" i="5"/>
  <c r="LC23" i="5"/>
  <c r="LD23" i="5"/>
  <c r="LE23" i="5"/>
  <c r="LF23" i="5"/>
  <c r="LG23" i="5"/>
  <c r="LH23" i="5"/>
  <c r="LI23" i="5"/>
  <c r="LJ23" i="5"/>
  <c r="LK23" i="5"/>
  <c r="LL23" i="5"/>
  <c r="LM23" i="5"/>
  <c r="LN23" i="5"/>
  <c r="LO23" i="5"/>
  <c r="LP23" i="5"/>
  <c r="LQ23" i="5"/>
  <c r="LR23" i="5"/>
  <c r="LS23" i="5"/>
  <c r="LT23" i="5"/>
  <c r="LU23" i="5"/>
  <c r="LV23" i="5"/>
  <c r="LW23" i="5"/>
  <c r="LX23" i="5"/>
  <c r="LY23" i="5"/>
  <c r="LZ23" i="5"/>
  <c r="MA23" i="5"/>
  <c r="MB23" i="5"/>
  <c r="MC23" i="5"/>
  <c r="MD23" i="5"/>
  <c r="ME23" i="5"/>
  <c r="MF23" i="5"/>
  <c r="MG23" i="5"/>
  <c r="AU24" i="5"/>
  <c r="AV24" i="5"/>
  <c r="AW24" i="5"/>
  <c r="AX24" i="5"/>
  <c r="AY24" i="5"/>
  <c r="AZ24" i="5"/>
  <c r="BA24" i="5"/>
  <c r="BB24" i="5"/>
  <c r="BC24" i="5"/>
  <c r="BD24" i="5"/>
  <c r="BE24" i="5"/>
  <c r="BF24" i="5"/>
  <c r="BG24" i="5"/>
  <c r="BH24" i="5"/>
  <c r="BI24" i="5"/>
  <c r="BJ24" i="5"/>
  <c r="BK24" i="5"/>
  <c r="BL24" i="5"/>
  <c r="BM24" i="5"/>
  <c r="BN24" i="5"/>
  <c r="BO24" i="5"/>
  <c r="BP24" i="5"/>
  <c r="BQ24" i="5"/>
  <c r="BR24" i="5"/>
  <c r="BS24" i="5"/>
  <c r="BT24" i="5"/>
  <c r="BU24" i="5"/>
  <c r="BV24" i="5"/>
  <c r="BW24" i="5"/>
  <c r="BX24" i="5"/>
  <c r="BY24" i="5"/>
  <c r="BZ24" i="5"/>
  <c r="CA24" i="5"/>
  <c r="CB24" i="5"/>
  <c r="CC24" i="5"/>
  <c r="CD24" i="5"/>
  <c r="CE24" i="5"/>
  <c r="CF24" i="5"/>
  <c r="CG24" i="5"/>
  <c r="CH24" i="5"/>
  <c r="CI24" i="5"/>
  <c r="CJ24" i="5"/>
  <c r="CK24" i="5"/>
  <c r="CL24" i="5"/>
  <c r="CM24" i="5"/>
  <c r="CN24" i="5"/>
  <c r="CO24" i="5"/>
  <c r="CP24" i="5"/>
  <c r="CQ24" i="5"/>
  <c r="CR24" i="5"/>
  <c r="CS24" i="5"/>
  <c r="CT24" i="5"/>
  <c r="CU24" i="5"/>
  <c r="CV24" i="5"/>
  <c r="CW24" i="5"/>
  <c r="CX24" i="5"/>
  <c r="CY24" i="5"/>
  <c r="CZ24" i="5"/>
  <c r="DA24" i="5"/>
  <c r="DB24" i="5"/>
  <c r="DC24" i="5"/>
  <c r="DD24" i="5"/>
  <c r="DE24" i="5"/>
  <c r="DF24" i="5"/>
  <c r="DG24" i="5"/>
  <c r="DH24" i="5"/>
  <c r="DI24" i="5"/>
  <c r="DJ24" i="5"/>
  <c r="DK24" i="5"/>
  <c r="DL24" i="5"/>
  <c r="DM24" i="5"/>
  <c r="DN24" i="5"/>
  <c r="DO24" i="5"/>
  <c r="DP24" i="5"/>
  <c r="DQ24" i="5"/>
  <c r="DR24" i="5"/>
  <c r="DS24" i="5"/>
  <c r="DT24" i="5"/>
  <c r="DU24" i="5"/>
  <c r="DV24" i="5"/>
  <c r="DW24" i="5"/>
  <c r="DX24" i="5"/>
  <c r="DY24" i="5"/>
  <c r="DZ24" i="5"/>
  <c r="EA24" i="5"/>
  <c r="EB24" i="5"/>
  <c r="EC24" i="5"/>
  <c r="ED24" i="5"/>
  <c r="EE24" i="5"/>
  <c r="EF24" i="5"/>
  <c r="EG24" i="5"/>
  <c r="EH24" i="5"/>
  <c r="EI24" i="5"/>
  <c r="EJ24" i="5"/>
  <c r="EK24" i="5"/>
  <c r="EL24" i="5"/>
  <c r="EM24" i="5"/>
  <c r="EN24" i="5"/>
  <c r="EO24" i="5"/>
  <c r="EP24" i="5"/>
  <c r="EQ24" i="5"/>
  <c r="ER24" i="5"/>
  <c r="ES24" i="5"/>
  <c r="ET24" i="5"/>
  <c r="EU24" i="5"/>
  <c r="EV24" i="5"/>
  <c r="EW24" i="5"/>
  <c r="EX24" i="5"/>
  <c r="EY24" i="5"/>
  <c r="EZ24" i="5"/>
  <c r="FA24" i="5"/>
  <c r="FB24" i="5"/>
  <c r="FC24" i="5"/>
  <c r="FD24" i="5"/>
  <c r="FE24" i="5"/>
  <c r="FF24" i="5"/>
  <c r="FG24" i="5"/>
  <c r="FH24" i="5"/>
  <c r="FI24" i="5"/>
  <c r="FJ24" i="5"/>
  <c r="FK24" i="5"/>
  <c r="FL24" i="5"/>
  <c r="FM24" i="5"/>
  <c r="FN24" i="5"/>
  <c r="FO24" i="5"/>
  <c r="FP24" i="5"/>
  <c r="FQ24" i="5"/>
  <c r="FR24" i="5"/>
  <c r="FS24" i="5"/>
  <c r="FT24" i="5"/>
  <c r="FU24" i="5"/>
  <c r="FV24" i="5"/>
  <c r="FW24" i="5"/>
  <c r="FX24" i="5"/>
  <c r="FY24" i="5"/>
  <c r="FZ24" i="5"/>
  <c r="GA24" i="5"/>
  <c r="GB24" i="5"/>
  <c r="GC24" i="5"/>
  <c r="GD24" i="5"/>
  <c r="GE24" i="5"/>
  <c r="GF24" i="5"/>
  <c r="GG24" i="5"/>
  <c r="GH24" i="5"/>
  <c r="GI24" i="5"/>
  <c r="GJ24" i="5"/>
  <c r="GK24" i="5"/>
  <c r="GL24" i="5"/>
  <c r="GM24" i="5"/>
  <c r="GN24" i="5"/>
  <c r="GO24" i="5"/>
  <c r="GP24" i="5"/>
  <c r="GQ24" i="5"/>
  <c r="GR24" i="5"/>
  <c r="GS24" i="5"/>
  <c r="GT24" i="5"/>
  <c r="GU24" i="5"/>
  <c r="GV24" i="5"/>
  <c r="GW24" i="5"/>
  <c r="GX24" i="5"/>
  <c r="GY24" i="5"/>
  <c r="GZ24" i="5"/>
  <c r="HA24" i="5"/>
  <c r="HB24" i="5"/>
  <c r="HC24" i="5"/>
  <c r="HD24" i="5"/>
  <c r="HE24" i="5"/>
  <c r="HF24" i="5"/>
  <c r="HG24" i="5"/>
  <c r="HH24" i="5"/>
  <c r="HI24" i="5"/>
  <c r="HJ24" i="5"/>
  <c r="HK24" i="5"/>
  <c r="HL24" i="5"/>
  <c r="HM24" i="5"/>
  <c r="HN24" i="5"/>
  <c r="HO24" i="5"/>
  <c r="HP24" i="5"/>
  <c r="HQ24" i="5"/>
  <c r="HR24" i="5"/>
  <c r="HS24" i="5"/>
  <c r="HT24" i="5"/>
  <c r="HU24" i="5"/>
  <c r="HV24" i="5"/>
  <c r="HW24" i="5"/>
  <c r="HX24" i="5"/>
  <c r="HY24" i="5"/>
  <c r="HZ24" i="5"/>
  <c r="IA24" i="5"/>
  <c r="IB24" i="5"/>
  <c r="IC24" i="5"/>
  <c r="ID24" i="5"/>
  <c r="IE24" i="5"/>
  <c r="IF24" i="5"/>
  <c r="IG24" i="5"/>
  <c r="IH24" i="5"/>
  <c r="II24" i="5"/>
  <c r="IJ24" i="5"/>
  <c r="IK24" i="5"/>
  <c r="IL24" i="5"/>
  <c r="IM24" i="5"/>
  <c r="IN24" i="5"/>
  <c r="IO24" i="5"/>
  <c r="IP24" i="5"/>
  <c r="IQ24" i="5"/>
  <c r="IR24" i="5"/>
  <c r="IS24" i="5"/>
  <c r="IT24" i="5"/>
  <c r="IU24" i="5"/>
  <c r="IV24" i="5"/>
  <c r="IW24" i="5"/>
  <c r="IX24" i="5"/>
  <c r="IY24" i="5"/>
  <c r="IZ24" i="5"/>
  <c r="JA24" i="5"/>
  <c r="JB24" i="5"/>
  <c r="JC24" i="5"/>
  <c r="JD24" i="5"/>
  <c r="JE24" i="5"/>
  <c r="JF24" i="5"/>
  <c r="JG24" i="5"/>
  <c r="JH24" i="5"/>
  <c r="JI24" i="5"/>
  <c r="JJ24" i="5"/>
  <c r="JK24" i="5"/>
  <c r="JL24" i="5"/>
  <c r="JM24" i="5"/>
  <c r="JN24" i="5"/>
  <c r="JO24" i="5"/>
  <c r="JP24" i="5"/>
  <c r="JQ24" i="5"/>
  <c r="JR24" i="5"/>
  <c r="JS24" i="5"/>
  <c r="JT24" i="5"/>
  <c r="JU24" i="5"/>
  <c r="JV24" i="5"/>
  <c r="JW24" i="5"/>
  <c r="JX24" i="5"/>
  <c r="JY24" i="5"/>
  <c r="JZ24" i="5"/>
  <c r="KA24" i="5"/>
  <c r="KB24" i="5"/>
  <c r="KC24" i="5"/>
  <c r="KD24" i="5"/>
  <c r="KE24" i="5"/>
  <c r="KF24" i="5"/>
  <c r="KG24" i="5"/>
  <c r="KH24" i="5"/>
  <c r="KI24" i="5"/>
  <c r="KJ24" i="5"/>
  <c r="KK24" i="5"/>
  <c r="KL24" i="5"/>
  <c r="KM24" i="5"/>
  <c r="KN24" i="5"/>
  <c r="KO24" i="5"/>
  <c r="KP24" i="5"/>
  <c r="KQ24" i="5"/>
  <c r="KR24" i="5"/>
  <c r="KS24" i="5"/>
  <c r="KT24" i="5"/>
  <c r="KU24" i="5"/>
  <c r="KV24" i="5"/>
  <c r="KW24" i="5"/>
  <c r="KX24" i="5"/>
  <c r="KY24" i="5"/>
  <c r="KZ24" i="5"/>
  <c r="LA24" i="5"/>
  <c r="LB24" i="5"/>
  <c r="LC24" i="5"/>
  <c r="LD24" i="5"/>
  <c r="LE24" i="5"/>
  <c r="LF24" i="5"/>
  <c r="LG24" i="5"/>
  <c r="LH24" i="5"/>
  <c r="LI24" i="5"/>
  <c r="LJ24" i="5"/>
  <c r="LK24" i="5"/>
  <c r="LL24" i="5"/>
  <c r="LM24" i="5"/>
  <c r="LN24" i="5"/>
  <c r="LO24" i="5"/>
  <c r="LP24" i="5"/>
  <c r="LQ24" i="5"/>
  <c r="LR24" i="5"/>
  <c r="LS24" i="5"/>
  <c r="LT24" i="5"/>
  <c r="LU24" i="5"/>
  <c r="LV24" i="5"/>
  <c r="LW24" i="5"/>
  <c r="LX24" i="5"/>
  <c r="LY24" i="5"/>
  <c r="LZ24" i="5"/>
  <c r="MA24" i="5"/>
  <c r="MB24" i="5"/>
  <c r="MC24" i="5"/>
  <c r="MD24" i="5"/>
  <c r="ME24" i="5"/>
  <c r="MF24" i="5"/>
  <c r="MG24" i="5"/>
  <c r="AU25" i="5"/>
  <c r="AV25" i="5"/>
  <c r="AW25" i="5"/>
  <c r="AX25" i="5"/>
  <c r="AY25" i="5"/>
  <c r="AZ25" i="5"/>
  <c r="BA25" i="5"/>
  <c r="BB25" i="5"/>
  <c r="BC25" i="5"/>
  <c r="BD25" i="5"/>
  <c r="BE25" i="5"/>
  <c r="BF25" i="5"/>
  <c r="BG25" i="5"/>
  <c r="BH25" i="5"/>
  <c r="BI25" i="5"/>
  <c r="BJ25" i="5"/>
  <c r="BK25" i="5"/>
  <c r="BL25" i="5"/>
  <c r="BM25" i="5"/>
  <c r="BN25" i="5"/>
  <c r="BO25" i="5"/>
  <c r="BP25" i="5"/>
  <c r="BQ25" i="5"/>
  <c r="BR25" i="5"/>
  <c r="BS25" i="5"/>
  <c r="BT25" i="5"/>
  <c r="BU25" i="5"/>
  <c r="BV25" i="5"/>
  <c r="BW25" i="5"/>
  <c r="BX25" i="5"/>
  <c r="BY25" i="5"/>
  <c r="BZ25" i="5"/>
  <c r="CA25" i="5"/>
  <c r="CB25" i="5"/>
  <c r="CC25" i="5"/>
  <c r="CD25" i="5"/>
  <c r="CE25" i="5"/>
  <c r="CF25" i="5"/>
  <c r="CG25" i="5"/>
  <c r="CH25" i="5"/>
  <c r="CI25" i="5"/>
  <c r="CJ25" i="5"/>
  <c r="CK25" i="5"/>
  <c r="CL25" i="5"/>
  <c r="CM25" i="5"/>
  <c r="CN25" i="5"/>
  <c r="CO25" i="5"/>
  <c r="CP25" i="5"/>
  <c r="CQ25" i="5"/>
  <c r="CR25" i="5"/>
  <c r="CS25" i="5"/>
  <c r="CT25" i="5"/>
  <c r="CU25" i="5"/>
  <c r="CV25" i="5"/>
  <c r="CW25" i="5"/>
  <c r="CX25" i="5"/>
  <c r="CY25" i="5"/>
  <c r="CZ25" i="5"/>
  <c r="DA25" i="5"/>
  <c r="DB25" i="5"/>
  <c r="DC25" i="5"/>
  <c r="DD25" i="5"/>
  <c r="DE25" i="5"/>
  <c r="DF25" i="5"/>
  <c r="DG25" i="5"/>
  <c r="DH25" i="5"/>
  <c r="DI25" i="5"/>
  <c r="DJ25" i="5"/>
  <c r="DK25" i="5"/>
  <c r="DL25" i="5"/>
  <c r="DM25" i="5"/>
  <c r="DN25" i="5"/>
  <c r="DO25" i="5"/>
  <c r="DP25" i="5"/>
  <c r="DQ25" i="5"/>
  <c r="DR25" i="5"/>
  <c r="DS25" i="5"/>
  <c r="DT25" i="5"/>
  <c r="DU25" i="5"/>
  <c r="DV25" i="5"/>
  <c r="DW25" i="5"/>
  <c r="DX25" i="5"/>
  <c r="DY25" i="5"/>
  <c r="DZ25" i="5"/>
  <c r="EA25" i="5"/>
  <c r="EB25" i="5"/>
  <c r="EC25" i="5"/>
  <c r="ED25" i="5"/>
  <c r="EE25" i="5"/>
  <c r="EF25" i="5"/>
  <c r="EG25" i="5"/>
  <c r="EH25" i="5"/>
  <c r="EI25" i="5"/>
  <c r="EJ25" i="5"/>
  <c r="EK25" i="5"/>
  <c r="EL25" i="5"/>
  <c r="EM25" i="5"/>
  <c r="EN25" i="5"/>
  <c r="EO25" i="5"/>
  <c r="EP25" i="5"/>
  <c r="EQ25" i="5"/>
  <c r="ER25" i="5"/>
  <c r="ES25" i="5"/>
  <c r="ET25" i="5"/>
  <c r="EU25" i="5"/>
  <c r="EV25" i="5"/>
  <c r="EW25" i="5"/>
  <c r="EX25" i="5"/>
  <c r="EY25" i="5"/>
  <c r="EZ25" i="5"/>
  <c r="FA25" i="5"/>
  <c r="FB25" i="5"/>
  <c r="FC25" i="5"/>
  <c r="FD25" i="5"/>
  <c r="FE25" i="5"/>
  <c r="FF25" i="5"/>
  <c r="FG25" i="5"/>
  <c r="FH25" i="5"/>
  <c r="FI25" i="5"/>
  <c r="FJ25" i="5"/>
  <c r="FK25" i="5"/>
  <c r="FL25" i="5"/>
  <c r="FM25" i="5"/>
  <c r="FN25" i="5"/>
  <c r="FO25" i="5"/>
  <c r="FP25" i="5"/>
  <c r="FQ25" i="5"/>
  <c r="FR25" i="5"/>
  <c r="FS25" i="5"/>
  <c r="FT25" i="5"/>
  <c r="FU25" i="5"/>
  <c r="FV25" i="5"/>
  <c r="FW25" i="5"/>
  <c r="FX25" i="5"/>
  <c r="FY25" i="5"/>
  <c r="FZ25" i="5"/>
  <c r="GA25" i="5"/>
  <c r="GB25" i="5"/>
  <c r="GC25" i="5"/>
  <c r="GD25" i="5"/>
  <c r="GE25" i="5"/>
  <c r="GF25" i="5"/>
  <c r="GG25" i="5"/>
  <c r="GH25" i="5"/>
  <c r="GI25" i="5"/>
  <c r="GJ25" i="5"/>
  <c r="GK25" i="5"/>
  <c r="GL25" i="5"/>
  <c r="GM25" i="5"/>
  <c r="GN25" i="5"/>
  <c r="GO25" i="5"/>
  <c r="GP25" i="5"/>
  <c r="GQ25" i="5"/>
  <c r="GR25" i="5"/>
  <c r="GS25" i="5"/>
  <c r="GT25" i="5"/>
  <c r="GU25" i="5"/>
  <c r="GV25" i="5"/>
  <c r="GW25" i="5"/>
  <c r="GX25" i="5"/>
  <c r="GY25" i="5"/>
  <c r="GZ25" i="5"/>
  <c r="HA25" i="5"/>
  <c r="HB25" i="5"/>
  <c r="HC25" i="5"/>
  <c r="HD25" i="5"/>
  <c r="HE25" i="5"/>
  <c r="HF25" i="5"/>
  <c r="HG25" i="5"/>
  <c r="HH25" i="5"/>
  <c r="HI25" i="5"/>
  <c r="HJ25" i="5"/>
  <c r="HK25" i="5"/>
  <c r="HL25" i="5"/>
  <c r="HM25" i="5"/>
  <c r="HN25" i="5"/>
  <c r="HO25" i="5"/>
  <c r="HP25" i="5"/>
  <c r="HQ25" i="5"/>
  <c r="HR25" i="5"/>
  <c r="HS25" i="5"/>
  <c r="HT25" i="5"/>
  <c r="HU25" i="5"/>
  <c r="HV25" i="5"/>
  <c r="HW25" i="5"/>
  <c r="HX25" i="5"/>
  <c r="HY25" i="5"/>
  <c r="HZ25" i="5"/>
  <c r="IA25" i="5"/>
  <c r="IB25" i="5"/>
  <c r="IC25" i="5"/>
  <c r="ID25" i="5"/>
  <c r="IE25" i="5"/>
  <c r="IF25" i="5"/>
  <c r="IG25" i="5"/>
  <c r="IH25" i="5"/>
  <c r="II25" i="5"/>
  <c r="IJ25" i="5"/>
  <c r="IK25" i="5"/>
  <c r="IL25" i="5"/>
  <c r="IM25" i="5"/>
  <c r="IN25" i="5"/>
  <c r="IO25" i="5"/>
  <c r="IP25" i="5"/>
  <c r="IQ25" i="5"/>
  <c r="IR25" i="5"/>
  <c r="IS25" i="5"/>
  <c r="IT25" i="5"/>
  <c r="IU25" i="5"/>
  <c r="IV25" i="5"/>
  <c r="IW25" i="5"/>
  <c r="IX25" i="5"/>
  <c r="IY25" i="5"/>
  <c r="IZ25" i="5"/>
  <c r="JA25" i="5"/>
  <c r="JB25" i="5"/>
  <c r="JC25" i="5"/>
  <c r="JD25" i="5"/>
  <c r="JE25" i="5"/>
  <c r="JF25" i="5"/>
  <c r="JG25" i="5"/>
  <c r="JH25" i="5"/>
  <c r="JI25" i="5"/>
  <c r="JJ25" i="5"/>
  <c r="JK25" i="5"/>
  <c r="JL25" i="5"/>
  <c r="JM25" i="5"/>
  <c r="JN25" i="5"/>
  <c r="JO25" i="5"/>
  <c r="JP25" i="5"/>
  <c r="JQ25" i="5"/>
  <c r="JR25" i="5"/>
  <c r="JS25" i="5"/>
  <c r="JT25" i="5"/>
  <c r="JU25" i="5"/>
  <c r="JV25" i="5"/>
  <c r="JW25" i="5"/>
  <c r="JX25" i="5"/>
  <c r="JY25" i="5"/>
  <c r="JZ25" i="5"/>
  <c r="KA25" i="5"/>
  <c r="KB25" i="5"/>
  <c r="KC25" i="5"/>
  <c r="KD25" i="5"/>
  <c r="KE25" i="5"/>
  <c r="KF25" i="5"/>
  <c r="KG25" i="5"/>
  <c r="KH25" i="5"/>
  <c r="KI25" i="5"/>
  <c r="KJ25" i="5"/>
  <c r="KK25" i="5"/>
  <c r="KL25" i="5"/>
  <c r="KM25" i="5"/>
  <c r="KN25" i="5"/>
  <c r="KO25" i="5"/>
  <c r="KP25" i="5"/>
  <c r="KQ25" i="5"/>
  <c r="KR25" i="5"/>
  <c r="KS25" i="5"/>
  <c r="KT25" i="5"/>
  <c r="KU25" i="5"/>
  <c r="KV25" i="5"/>
  <c r="KW25" i="5"/>
  <c r="KX25" i="5"/>
  <c r="KY25" i="5"/>
  <c r="KZ25" i="5"/>
  <c r="LA25" i="5"/>
  <c r="LB25" i="5"/>
  <c r="LC25" i="5"/>
  <c r="LD25" i="5"/>
  <c r="LE25" i="5"/>
  <c r="LF25" i="5"/>
  <c r="LG25" i="5"/>
  <c r="LH25" i="5"/>
  <c r="LI25" i="5"/>
  <c r="LJ25" i="5"/>
  <c r="LK25" i="5"/>
  <c r="LL25" i="5"/>
  <c r="LM25" i="5"/>
  <c r="LN25" i="5"/>
  <c r="LO25" i="5"/>
  <c r="LP25" i="5"/>
  <c r="LQ25" i="5"/>
  <c r="LR25" i="5"/>
  <c r="LS25" i="5"/>
  <c r="LT25" i="5"/>
  <c r="LU25" i="5"/>
  <c r="LV25" i="5"/>
  <c r="LW25" i="5"/>
  <c r="LX25" i="5"/>
  <c r="LY25" i="5"/>
  <c r="LZ25" i="5"/>
  <c r="MA25" i="5"/>
  <c r="MB25" i="5"/>
  <c r="MC25" i="5"/>
  <c r="MD25" i="5"/>
  <c r="ME25" i="5"/>
  <c r="MF25" i="5"/>
  <c r="MG25" i="5"/>
  <c r="AU26" i="5"/>
  <c r="AV26" i="5"/>
  <c r="AW26" i="5"/>
  <c r="AX26" i="5"/>
  <c r="AY26" i="5"/>
  <c r="AZ26" i="5"/>
  <c r="BA26" i="5"/>
  <c r="BB26" i="5"/>
  <c r="BC26" i="5"/>
  <c r="BD26" i="5"/>
  <c r="BE26" i="5"/>
  <c r="BF26" i="5"/>
  <c r="BG26" i="5"/>
  <c r="BH26" i="5"/>
  <c r="BI26" i="5"/>
  <c r="BJ26" i="5"/>
  <c r="BK26" i="5"/>
  <c r="BL26" i="5"/>
  <c r="BM26" i="5"/>
  <c r="BN26" i="5"/>
  <c r="BO26" i="5"/>
  <c r="BP26" i="5"/>
  <c r="BQ26" i="5"/>
  <c r="BR26" i="5"/>
  <c r="BS26" i="5"/>
  <c r="BT26" i="5"/>
  <c r="BU26" i="5"/>
  <c r="BV26" i="5"/>
  <c r="BW26" i="5"/>
  <c r="BX26" i="5"/>
  <c r="BY26" i="5"/>
  <c r="BZ26" i="5"/>
  <c r="CA26" i="5"/>
  <c r="CB26" i="5"/>
  <c r="CC26" i="5"/>
  <c r="CD26" i="5"/>
  <c r="CE26" i="5"/>
  <c r="CF26" i="5"/>
  <c r="CG26" i="5"/>
  <c r="CH26" i="5"/>
  <c r="CI26" i="5"/>
  <c r="CJ26" i="5"/>
  <c r="CK26" i="5"/>
  <c r="CL26" i="5"/>
  <c r="CM26" i="5"/>
  <c r="CN26" i="5"/>
  <c r="CO26" i="5"/>
  <c r="CP26" i="5"/>
  <c r="CQ26" i="5"/>
  <c r="CR26" i="5"/>
  <c r="CS26" i="5"/>
  <c r="CT26" i="5"/>
  <c r="CU26" i="5"/>
  <c r="CV26" i="5"/>
  <c r="CW26" i="5"/>
  <c r="CX26" i="5"/>
  <c r="CY26" i="5"/>
  <c r="CZ26" i="5"/>
  <c r="DA26" i="5"/>
  <c r="DB26" i="5"/>
  <c r="DC26" i="5"/>
  <c r="DD26" i="5"/>
  <c r="DE26" i="5"/>
  <c r="DF26" i="5"/>
  <c r="DG26" i="5"/>
  <c r="DH26" i="5"/>
  <c r="DI26" i="5"/>
  <c r="DJ26" i="5"/>
  <c r="DK26" i="5"/>
  <c r="DL26" i="5"/>
  <c r="DM26" i="5"/>
  <c r="DN26" i="5"/>
  <c r="DO26" i="5"/>
  <c r="DP26" i="5"/>
  <c r="DQ26" i="5"/>
  <c r="DR26" i="5"/>
  <c r="DS26" i="5"/>
  <c r="DT26" i="5"/>
  <c r="DU26" i="5"/>
  <c r="DV26" i="5"/>
  <c r="DW26" i="5"/>
  <c r="DX26" i="5"/>
  <c r="DY26" i="5"/>
  <c r="DZ26" i="5"/>
  <c r="EA26" i="5"/>
  <c r="EB26" i="5"/>
  <c r="EC26" i="5"/>
  <c r="ED26" i="5"/>
  <c r="EE26" i="5"/>
  <c r="EF26" i="5"/>
  <c r="EG26" i="5"/>
  <c r="EH26" i="5"/>
  <c r="EI26" i="5"/>
  <c r="EJ26" i="5"/>
  <c r="EK26" i="5"/>
  <c r="EL26" i="5"/>
  <c r="EM26" i="5"/>
  <c r="EN26" i="5"/>
  <c r="EO26" i="5"/>
  <c r="EP26" i="5"/>
  <c r="EQ26" i="5"/>
  <c r="ER26" i="5"/>
  <c r="ES26" i="5"/>
  <c r="ET26" i="5"/>
  <c r="EU26" i="5"/>
  <c r="EV26" i="5"/>
  <c r="EW26" i="5"/>
  <c r="EX26" i="5"/>
  <c r="EY26" i="5"/>
  <c r="EZ26" i="5"/>
  <c r="FA26" i="5"/>
  <c r="FB26" i="5"/>
  <c r="FC26" i="5"/>
  <c r="FD26" i="5"/>
  <c r="FE26" i="5"/>
  <c r="FF26" i="5"/>
  <c r="FG26" i="5"/>
  <c r="FH26" i="5"/>
  <c r="FI26" i="5"/>
  <c r="FJ26" i="5"/>
  <c r="FK26" i="5"/>
  <c r="FL26" i="5"/>
  <c r="FM26" i="5"/>
  <c r="FN26" i="5"/>
  <c r="FO26" i="5"/>
  <c r="FP26" i="5"/>
  <c r="FQ26" i="5"/>
  <c r="FR26" i="5"/>
  <c r="FS26" i="5"/>
  <c r="FT26" i="5"/>
  <c r="FU26" i="5"/>
  <c r="FV26" i="5"/>
  <c r="FW26" i="5"/>
  <c r="FX26" i="5"/>
  <c r="FY26" i="5"/>
  <c r="FZ26" i="5"/>
  <c r="GA26" i="5"/>
  <c r="GB26" i="5"/>
  <c r="GC26" i="5"/>
  <c r="GD26" i="5"/>
  <c r="GE26" i="5"/>
  <c r="GF26" i="5"/>
  <c r="GG26" i="5"/>
  <c r="GH26" i="5"/>
  <c r="GI26" i="5"/>
  <c r="GJ26" i="5"/>
  <c r="GK26" i="5"/>
  <c r="GL26" i="5"/>
  <c r="GM26" i="5"/>
  <c r="GN26" i="5"/>
  <c r="GO26" i="5"/>
  <c r="GP26" i="5"/>
  <c r="GQ26" i="5"/>
  <c r="GR26" i="5"/>
  <c r="GS26" i="5"/>
  <c r="GT26" i="5"/>
  <c r="GU26" i="5"/>
  <c r="GV26" i="5"/>
  <c r="GW26" i="5"/>
  <c r="GX26" i="5"/>
  <c r="GY26" i="5"/>
  <c r="GZ26" i="5"/>
  <c r="HA26" i="5"/>
  <c r="HB26" i="5"/>
  <c r="HC26" i="5"/>
  <c r="HD26" i="5"/>
  <c r="HE26" i="5"/>
  <c r="HF26" i="5"/>
  <c r="HG26" i="5"/>
  <c r="HH26" i="5"/>
  <c r="HI26" i="5"/>
  <c r="HJ26" i="5"/>
  <c r="HK26" i="5"/>
  <c r="HL26" i="5"/>
  <c r="HM26" i="5"/>
  <c r="HN26" i="5"/>
  <c r="HO26" i="5"/>
  <c r="HP26" i="5"/>
  <c r="HQ26" i="5"/>
  <c r="HR26" i="5"/>
  <c r="HS26" i="5"/>
  <c r="HT26" i="5"/>
  <c r="HU26" i="5"/>
  <c r="HV26" i="5"/>
  <c r="HW26" i="5"/>
  <c r="HX26" i="5"/>
  <c r="HY26" i="5"/>
  <c r="HZ26" i="5"/>
  <c r="IA26" i="5"/>
  <c r="IB26" i="5"/>
  <c r="IC26" i="5"/>
  <c r="ID26" i="5"/>
  <c r="IE26" i="5"/>
  <c r="IF26" i="5"/>
  <c r="IG26" i="5"/>
  <c r="IH26" i="5"/>
  <c r="II26" i="5"/>
  <c r="IJ26" i="5"/>
  <c r="IK26" i="5"/>
  <c r="IL26" i="5"/>
  <c r="IM26" i="5"/>
  <c r="IN26" i="5"/>
  <c r="IO26" i="5"/>
  <c r="IP26" i="5"/>
  <c r="IQ26" i="5"/>
  <c r="IR26" i="5"/>
  <c r="IS26" i="5"/>
  <c r="IT26" i="5"/>
  <c r="IU26" i="5"/>
  <c r="IV26" i="5"/>
  <c r="IW26" i="5"/>
  <c r="IX26" i="5"/>
  <c r="IY26" i="5"/>
  <c r="IZ26" i="5"/>
  <c r="JA26" i="5"/>
  <c r="JB26" i="5"/>
  <c r="JC26" i="5"/>
  <c r="JD26" i="5"/>
  <c r="JE26" i="5"/>
  <c r="JF26" i="5"/>
  <c r="JG26" i="5"/>
  <c r="JH26" i="5"/>
  <c r="JI26" i="5"/>
  <c r="JJ26" i="5"/>
  <c r="JK26" i="5"/>
  <c r="JL26" i="5"/>
  <c r="JM26" i="5"/>
  <c r="JN26" i="5"/>
  <c r="JO26" i="5"/>
  <c r="JP26" i="5"/>
  <c r="JQ26" i="5"/>
  <c r="JR26" i="5"/>
  <c r="JS26" i="5"/>
  <c r="JT26" i="5"/>
  <c r="JU26" i="5"/>
  <c r="JV26" i="5"/>
  <c r="JW26" i="5"/>
  <c r="JX26" i="5"/>
  <c r="JY26" i="5"/>
  <c r="JZ26" i="5"/>
  <c r="KA26" i="5"/>
  <c r="KB26" i="5"/>
  <c r="KC26" i="5"/>
  <c r="KD26" i="5"/>
  <c r="KE26" i="5"/>
  <c r="KF26" i="5"/>
  <c r="KG26" i="5"/>
  <c r="KH26" i="5"/>
  <c r="KI26" i="5"/>
  <c r="KJ26" i="5"/>
  <c r="KK26" i="5"/>
  <c r="KL26" i="5"/>
  <c r="KM26" i="5"/>
  <c r="KN26" i="5"/>
  <c r="KO26" i="5"/>
  <c r="KP26" i="5"/>
  <c r="KQ26" i="5"/>
  <c r="KR26" i="5"/>
  <c r="KS26" i="5"/>
  <c r="KT26" i="5"/>
  <c r="KU26" i="5"/>
  <c r="KV26" i="5"/>
  <c r="KW26" i="5"/>
  <c r="KX26" i="5"/>
  <c r="KY26" i="5"/>
  <c r="KZ26" i="5"/>
  <c r="LA26" i="5"/>
  <c r="LB26" i="5"/>
  <c r="LC26" i="5"/>
  <c r="LD26" i="5"/>
  <c r="LE26" i="5"/>
  <c r="LF26" i="5"/>
  <c r="LG26" i="5"/>
  <c r="LH26" i="5"/>
  <c r="LI26" i="5"/>
  <c r="LJ26" i="5"/>
  <c r="LK26" i="5"/>
  <c r="LL26" i="5"/>
  <c r="LM26" i="5"/>
  <c r="LN26" i="5"/>
  <c r="LO26" i="5"/>
  <c r="LP26" i="5"/>
  <c r="LQ26" i="5"/>
  <c r="LR26" i="5"/>
  <c r="LS26" i="5"/>
  <c r="LT26" i="5"/>
  <c r="LU26" i="5"/>
  <c r="LV26" i="5"/>
  <c r="LW26" i="5"/>
  <c r="LX26" i="5"/>
  <c r="LY26" i="5"/>
  <c r="LZ26" i="5"/>
  <c r="MA26" i="5"/>
  <c r="MB26" i="5"/>
  <c r="MC26" i="5"/>
  <c r="MD26" i="5"/>
  <c r="ME26" i="5"/>
  <c r="MF26" i="5"/>
  <c r="MG26" i="5"/>
  <c r="AU27" i="5"/>
  <c r="AV27" i="5"/>
  <c r="AW27" i="5"/>
  <c r="AX27" i="5"/>
  <c r="AY27" i="5"/>
  <c r="AZ27" i="5"/>
  <c r="BA27" i="5"/>
  <c r="BB27" i="5"/>
  <c r="BC27" i="5"/>
  <c r="BD27" i="5"/>
  <c r="BE27" i="5"/>
  <c r="BF27" i="5"/>
  <c r="BG27" i="5"/>
  <c r="BH27" i="5"/>
  <c r="BI27" i="5"/>
  <c r="BJ27" i="5"/>
  <c r="BK27" i="5"/>
  <c r="BL27" i="5"/>
  <c r="BM27" i="5"/>
  <c r="BN27" i="5"/>
  <c r="BO27" i="5"/>
  <c r="BP27" i="5"/>
  <c r="BQ27" i="5"/>
  <c r="BR27" i="5"/>
  <c r="BS27" i="5"/>
  <c r="BT27" i="5"/>
  <c r="BU27" i="5"/>
  <c r="BV27" i="5"/>
  <c r="BW27" i="5"/>
  <c r="BX27" i="5"/>
  <c r="BY27" i="5"/>
  <c r="BZ27" i="5"/>
  <c r="CA27" i="5"/>
  <c r="CB27" i="5"/>
  <c r="CC27" i="5"/>
  <c r="CD27" i="5"/>
  <c r="CE27" i="5"/>
  <c r="CF27" i="5"/>
  <c r="CG27" i="5"/>
  <c r="CH27" i="5"/>
  <c r="CI27" i="5"/>
  <c r="CJ27" i="5"/>
  <c r="CK27" i="5"/>
  <c r="CL27" i="5"/>
  <c r="CM27" i="5"/>
  <c r="CN27" i="5"/>
  <c r="CO27" i="5"/>
  <c r="CP27" i="5"/>
  <c r="CQ27" i="5"/>
  <c r="CR27" i="5"/>
  <c r="CS27" i="5"/>
  <c r="CT27" i="5"/>
  <c r="CU27" i="5"/>
  <c r="CV27" i="5"/>
  <c r="CW27" i="5"/>
  <c r="CX27" i="5"/>
  <c r="CY27" i="5"/>
  <c r="CZ27" i="5"/>
  <c r="DA27" i="5"/>
  <c r="DB27" i="5"/>
  <c r="DC27" i="5"/>
  <c r="DD27" i="5"/>
  <c r="DE27" i="5"/>
  <c r="DF27" i="5"/>
  <c r="DG27" i="5"/>
  <c r="DH27" i="5"/>
  <c r="DI27" i="5"/>
  <c r="DJ27" i="5"/>
  <c r="DK27" i="5"/>
  <c r="DL27" i="5"/>
  <c r="DM27" i="5"/>
  <c r="DN27" i="5"/>
  <c r="DO27" i="5"/>
  <c r="DP27" i="5"/>
  <c r="DQ27" i="5"/>
  <c r="DR27" i="5"/>
  <c r="DS27" i="5"/>
  <c r="DT27" i="5"/>
  <c r="DU27" i="5"/>
  <c r="DV27" i="5"/>
  <c r="DW27" i="5"/>
  <c r="DX27" i="5"/>
  <c r="DY27" i="5"/>
  <c r="DZ27" i="5"/>
  <c r="EA27" i="5"/>
  <c r="EB27" i="5"/>
  <c r="EC27" i="5"/>
  <c r="ED27" i="5"/>
  <c r="EE27" i="5"/>
  <c r="EF27" i="5"/>
  <c r="EG27" i="5"/>
  <c r="EH27" i="5"/>
  <c r="EI27" i="5"/>
  <c r="EJ27" i="5"/>
  <c r="EK27" i="5"/>
  <c r="EL27" i="5"/>
  <c r="EM27" i="5"/>
  <c r="EN27" i="5"/>
  <c r="EO27" i="5"/>
  <c r="EP27" i="5"/>
  <c r="EQ27" i="5"/>
  <c r="ER27" i="5"/>
  <c r="ES27" i="5"/>
  <c r="ET27" i="5"/>
  <c r="EU27" i="5"/>
  <c r="EV27" i="5"/>
  <c r="EW27" i="5"/>
  <c r="EX27" i="5"/>
  <c r="EY27" i="5"/>
  <c r="EZ27" i="5"/>
  <c r="FA27" i="5"/>
  <c r="FB27" i="5"/>
  <c r="FC27" i="5"/>
  <c r="FD27" i="5"/>
  <c r="FE27" i="5"/>
  <c r="FF27" i="5"/>
  <c r="FG27" i="5"/>
  <c r="FH27" i="5"/>
  <c r="FI27" i="5"/>
  <c r="FJ27" i="5"/>
  <c r="FK27" i="5"/>
  <c r="FL27" i="5"/>
  <c r="FM27" i="5"/>
  <c r="FN27" i="5"/>
  <c r="FO27" i="5"/>
  <c r="FP27" i="5"/>
  <c r="FQ27" i="5"/>
  <c r="FR27" i="5"/>
  <c r="FS27" i="5"/>
  <c r="FT27" i="5"/>
  <c r="FU27" i="5"/>
  <c r="FV27" i="5"/>
  <c r="FW27" i="5"/>
  <c r="FX27" i="5"/>
  <c r="FY27" i="5"/>
  <c r="FZ27" i="5"/>
  <c r="GA27" i="5"/>
  <c r="GB27" i="5"/>
  <c r="GC27" i="5"/>
  <c r="GD27" i="5"/>
  <c r="GE27" i="5"/>
  <c r="GF27" i="5"/>
  <c r="GG27" i="5"/>
  <c r="GH27" i="5"/>
  <c r="GI27" i="5"/>
  <c r="GJ27" i="5"/>
  <c r="GK27" i="5"/>
  <c r="GL27" i="5"/>
  <c r="GM27" i="5"/>
  <c r="GN27" i="5"/>
  <c r="GO27" i="5"/>
  <c r="GP27" i="5"/>
  <c r="GQ27" i="5"/>
  <c r="GR27" i="5"/>
  <c r="GS27" i="5"/>
  <c r="GT27" i="5"/>
  <c r="GU27" i="5"/>
  <c r="GV27" i="5"/>
  <c r="GW27" i="5"/>
  <c r="GX27" i="5"/>
  <c r="GY27" i="5"/>
  <c r="GZ27" i="5"/>
  <c r="HA27" i="5"/>
  <c r="HB27" i="5"/>
  <c r="HC27" i="5"/>
  <c r="HD27" i="5"/>
  <c r="HE27" i="5"/>
  <c r="HF27" i="5"/>
  <c r="HG27" i="5"/>
  <c r="HH27" i="5"/>
  <c r="HI27" i="5"/>
  <c r="HJ27" i="5"/>
  <c r="HK27" i="5"/>
  <c r="HL27" i="5"/>
  <c r="HM27" i="5"/>
  <c r="HN27" i="5"/>
  <c r="HO27" i="5"/>
  <c r="HP27" i="5"/>
  <c r="HQ27" i="5"/>
  <c r="HR27" i="5"/>
  <c r="HS27" i="5"/>
  <c r="HT27" i="5"/>
  <c r="HU27" i="5"/>
  <c r="HV27" i="5"/>
  <c r="HW27" i="5"/>
  <c r="HX27" i="5"/>
  <c r="HY27" i="5"/>
  <c r="HZ27" i="5"/>
  <c r="IA27" i="5"/>
  <c r="IB27" i="5"/>
  <c r="IC27" i="5"/>
  <c r="ID27" i="5"/>
  <c r="IE27" i="5"/>
  <c r="IF27" i="5"/>
  <c r="IG27" i="5"/>
  <c r="IH27" i="5"/>
  <c r="II27" i="5"/>
  <c r="IJ27" i="5"/>
  <c r="IK27" i="5"/>
  <c r="IL27" i="5"/>
  <c r="IM27" i="5"/>
  <c r="IN27" i="5"/>
  <c r="IO27" i="5"/>
  <c r="IP27" i="5"/>
  <c r="IQ27" i="5"/>
  <c r="IR27" i="5"/>
  <c r="IS27" i="5"/>
  <c r="IT27" i="5"/>
  <c r="IU27" i="5"/>
  <c r="IV27" i="5"/>
  <c r="IW27" i="5"/>
  <c r="IX27" i="5"/>
  <c r="IY27" i="5"/>
  <c r="IZ27" i="5"/>
  <c r="JA27" i="5"/>
  <c r="JB27" i="5"/>
  <c r="JC27" i="5"/>
  <c r="JD27" i="5"/>
  <c r="JE27" i="5"/>
  <c r="JF27" i="5"/>
  <c r="JG27" i="5"/>
  <c r="JH27" i="5"/>
  <c r="JI27" i="5"/>
  <c r="JJ27" i="5"/>
  <c r="JK27" i="5"/>
  <c r="JL27" i="5"/>
  <c r="JM27" i="5"/>
  <c r="JN27" i="5"/>
  <c r="JO27" i="5"/>
  <c r="JP27" i="5"/>
  <c r="JQ27" i="5"/>
  <c r="JR27" i="5"/>
  <c r="JS27" i="5"/>
  <c r="JT27" i="5"/>
  <c r="JU27" i="5"/>
  <c r="JV27" i="5"/>
  <c r="JW27" i="5"/>
  <c r="JX27" i="5"/>
  <c r="JY27" i="5"/>
  <c r="JZ27" i="5"/>
  <c r="KA27" i="5"/>
  <c r="KB27" i="5"/>
  <c r="KC27" i="5"/>
  <c r="KD27" i="5"/>
  <c r="KE27" i="5"/>
  <c r="KF27" i="5"/>
  <c r="KG27" i="5"/>
  <c r="KH27" i="5"/>
  <c r="KI27" i="5"/>
  <c r="KJ27" i="5"/>
  <c r="KK27" i="5"/>
  <c r="KL27" i="5"/>
  <c r="KM27" i="5"/>
  <c r="KN27" i="5"/>
  <c r="KO27" i="5"/>
  <c r="KP27" i="5"/>
  <c r="KQ27" i="5"/>
  <c r="KR27" i="5"/>
  <c r="KS27" i="5"/>
  <c r="KT27" i="5"/>
  <c r="KU27" i="5"/>
  <c r="KV27" i="5"/>
  <c r="KW27" i="5"/>
  <c r="KX27" i="5"/>
  <c r="KY27" i="5"/>
  <c r="KZ27" i="5"/>
  <c r="LA27" i="5"/>
  <c r="LB27" i="5"/>
  <c r="LC27" i="5"/>
  <c r="LD27" i="5"/>
  <c r="LE27" i="5"/>
  <c r="LF27" i="5"/>
  <c r="LG27" i="5"/>
  <c r="LH27" i="5"/>
  <c r="LI27" i="5"/>
  <c r="LJ27" i="5"/>
  <c r="LK27" i="5"/>
  <c r="LL27" i="5"/>
  <c r="LM27" i="5"/>
  <c r="LN27" i="5"/>
  <c r="LO27" i="5"/>
  <c r="LP27" i="5"/>
  <c r="LQ27" i="5"/>
  <c r="LR27" i="5"/>
  <c r="LS27" i="5"/>
  <c r="LT27" i="5"/>
  <c r="LU27" i="5"/>
  <c r="LV27" i="5"/>
  <c r="LW27" i="5"/>
  <c r="LX27" i="5"/>
  <c r="LY27" i="5"/>
  <c r="LZ27" i="5"/>
  <c r="MA27" i="5"/>
  <c r="MB27" i="5"/>
  <c r="MC27" i="5"/>
  <c r="MD27" i="5"/>
  <c r="ME27" i="5"/>
  <c r="MF27" i="5"/>
  <c r="MG27" i="5"/>
  <c r="AU28" i="5"/>
  <c r="AV28" i="5"/>
  <c r="AW28" i="5"/>
  <c r="AX28" i="5"/>
  <c r="AY28" i="5"/>
  <c r="AZ28" i="5"/>
  <c r="BA28" i="5"/>
  <c r="BB28" i="5"/>
  <c r="BC28" i="5"/>
  <c r="BD28" i="5"/>
  <c r="BE28" i="5"/>
  <c r="BF28" i="5"/>
  <c r="BG28" i="5"/>
  <c r="BH28" i="5"/>
  <c r="BI28" i="5"/>
  <c r="BJ28" i="5"/>
  <c r="BK28" i="5"/>
  <c r="BL28" i="5"/>
  <c r="BM28" i="5"/>
  <c r="BN28" i="5"/>
  <c r="BO28" i="5"/>
  <c r="BP28" i="5"/>
  <c r="BQ28" i="5"/>
  <c r="BR28" i="5"/>
  <c r="BS28" i="5"/>
  <c r="BT28" i="5"/>
  <c r="BU28" i="5"/>
  <c r="BV28" i="5"/>
  <c r="BW28" i="5"/>
  <c r="BX28" i="5"/>
  <c r="BY28" i="5"/>
  <c r="BZ28" i="5"/>
  <c r="CA28" i="5"/>
  <c r="CB28" i="5"/>
  <c r="CC28" i="5"/>
  <c r="CD28" i="5"/>
  <c r="CE28" i="5"/>
  <c r="CF28" i="5"/>
  <c r="CG28" i="5"/>
  <c r="CH28" i="5"/>
  <c r="CI28" i="5"/>
  <c r="CJ28" i="5"/>
  <c r="CK28" i="5"/>
  <c r="CL28" i="5"/>
  <c r="CM28" i="5"/>
  <c r="CN28" i="5"/>
  <c r="CO28" i="5"/>
  <c r="CP28" i="5"/>
  <c r="CQ28" i="5"/>
  <c r="CR28" i="5"/>
  <c r="CS28" i="5"/>
  <c r="CT28" i="5"/>
  <c r="CU28" i="5"/>
  <c r="CV28" i="5"/>
  <c r="CW28" i="5"/>
  <c r="CX28" i="5"/>
  <c r="CY28" i="5"/>
  <c r="CZ28" i="5"/>
  <c r="DA28" i="5"/>
  <c r="DB28" i="5"/>
  <c r="DC28" i="5"/>
  <c r="DD28" i="5"/>
  <c r="DE28" i="5"/>
  <c r="DF28" i="5"/>
  <c r="DG28" i="5"/>
  <c r="DH28" i="5"/>
  <c r="DI28" i="5"/>
  <c r="DJ28" i="5"/>
  <c r="DK28" i="5"/>
  <c r="DL28" i="5"/>
  <c r="DM28" i="5"/>
  <c r="DN28" i="5"/>
  <c r="DO28" i="5"/>
  <c r="DP28" i="5"/>
  <c r="DQ28" i="5"/>
  <c r="DR28" i="5"/>
  <c r="DS28" i="5"/>
  <c r="DT28" i="5"/>
  <c r="DU28" i="5"/>
  <c r="DV28" i="5"/>
  <c r="DW28" i="5"/>
  <c r="DX28" i="5"/>
  <c r="DY28" i="5"/>
  <c r="DZ28" i="5"/>
  <c r="EA28" i="5"/>
  <c r="EB28" i="5"/>
  <c r="EC28" i="5"/>
  <c r="ED28" i="5"/>
  <c r="EE28" i="5"/>
  <c r="EF28" i="5"/>
  <c r="EG28" i="5"/>
  <c r="EH28" i="5"/>
  <c r="EI28" i="5"/>
  <c r="EJ28" i="5"/>
  <c r="EK28" i="5"/>
  <c r="EL28" i="5"/>
  <c r="EM28" i="5"/>
  <c r="EN28" i="5"/>
  <c r="EO28" i="5"/>
  <c r="EP28" i="5"/>
  <c r="EQ28" i="5"/>
  <c r="ER28" i="5"/>
  <c r="ES28" i="5"/>
  <c r="ET28" i="5"/>
  <c r="EU28" i="5"/>
  <c r="EV28" i="5"/>
  <c r="EW28" i="5"/>
  <c r="EX28" i="5"/>
  <c r="EY28" i="5"/>
  <c r="EZ28" i="5"/>
  <c r="FA28" i="5"/>
  <c r="FB28" i="5"/>
  <c r="FC28" i="5"/>
  <c r="FD28" i="5"/>
  <c r="FE28" i="5"/>
  <c r="FF28" i="5"/>
  <c r="FG28" i="5"/>
  <c r="FH28" i="5"/>
  <c r="FI28" i="5"/>
  <c r="FJ28" i="5"/>
  <c r="FK28" i="5"/>
  <c r="FL28" i="5"/>
  <c r="FM28" i="5"/>
  <c r="FN28" i="5"/>
  <c r="FO28" i="5"/>
  <c r="FP28" i="5"/>
  <c r="FQ28" i="5"/>
  <c r="FR28" i="5"/>
  <c r="FS28" i="5"/>
  <c r="FT28" i="5"/>
  <c r="FU28" i="5"/>
  <c r="FV28" i="5"/>
  <c r="FW28" i="5"/>
  <c r="FX28" i="5"/>
  <c r="FY28" i="5"/>
  <c r="FZ28" i="5"/>
  <c r="GA28" i="5"/>
  <c r="GB28" i="5"/>
  <c r="GC28" i="5"/>
  <c r="GD28" i="5"/>
  <c r="GE28" i="5"/>
  <c r="GF28" i="5"/>
  <c r="GG28" i="5"/>
  <c r="GH28" i="5"/>
  <c r="GI28" i="5"/>
  <c r="GJ28" i="5"/>
  <c r="GK28" i="5"/>
  <c r="GL28" i="5"/>
  <c r="GM28" i="5"/>
  <c r="GN28" i="5"/>
  <c r="GO28" i="5"/>
  <c r="GP28" i="5"/>
  <c r="GQ28" i="5"/>
  <c r="GR28" i="5"/>
  <c r="GS28" i="5"/>
  <c r="GT28" i="5"/>
  <c r="GU28" i="5"/>
  <c r="GV28" i="5"/>
  <c r="GW28" i="5"/>
  <c r="GX28" i="5"/>
  <c r="GY28" i="5"/>
  <c r="GZ28" i="5"/>
  <c r="HA28" i="5"/>
  <c r="HB28" i="5"/>
  <c r="HC28" i="5"/>
  <c r="HD28" i="5"/>
  <c r="HE28" i="5"/>
  <c r="HF28" i="5"/>
  <c r="HG28" i="5"/>
  <c r="HH28" i="5"/>
  <c r="HI28" i="5"/>
  <c r="HJ28" i="5"/>
  <c r="HK28" i="5"/>
  <c r="HL28" i="5"/>
  <c r="HM28" i="5"/>
  <c r="HN28" i="5"/>
  <c r="HO28" i="5"/>
  <c r="HP28" i="5"/>
  <c r="HQ28" i="5"/>
  <c r="HR28" i="5"/>
  <c r="HS28" i="5"/>
  <c r="HT28" i="5"/>
  <c r="HU28" i="5"/>
  <c r="HV28" i="5"/>
  <c r="HW28" i="5"/>
  <c r="HX28" i="5"/>
  <c r="HY28" i="5"/>
  <c r="HZ28" i="5"/>
  <c r="IA28" i="5"/>
  <c r="IB28" i="5"/>
  <c r="IC28" i="5"/>
  <c r="ID28" i="5"/>
  <c r="IE28" i="5"/>
  <c r="IF28" i="5"/>
  <c r="IG28" i="5"/>
  <c r="IH28" i="5"/>
  <c r="II28" i="5"/>
  <c r="IJ28" i="5"/>
  <c r="IK28" i="5"/>
  <c r="IL28" i="5"/>
  <c r="IM28" i="5"/>
  <c r="IN28" i="5"/>
  <c r="IO28" i="5"/>
  <c r="IP28" i="5"/>
  <c r="IQ28" i="5"/>
  <c r="IR28" i="5"/>
  <c r="IS28" i="5"/>
  <c r="IT28" i="5"/>
  <c r="IU28" i="5"/>
  <c r="IV28" i="5"/>
  <c r="IW28" i="5"/>
  <c r="IX28" i="5"/>
  <c r="IY28" i="5"/>
  <c r="IZ28" i="5"/>
  <c r="JA28" i="5"/>
  <c r="JB28" i="5"/>
  <c r="JC28" i="5"/>
  <c r="JD28" i="5"/>
  <c r="JE28" i="5"/>
  <c r="JF28" i="5"/>
  <c r="JG28" i="5"/>
  <c r="JH28" i="5"/>
  <c r="JI28" i="5"/>
  <c r="JJ28" i="5"/>
  <c r="JK28" i="5"/>
  <c r="JL28" i="5"/>
  <c r="JM28" i="5"/>
  <c r="JN28" i="5"/>
  <c r="JO28" i="5"/>
  <c r="JP28" i="5"/>
  <c r="JQ28" i="5"/>
  <c r="JR28" i="5"/>
  <c r="JS28" i="5"/>
  <c r="JT28" i="5"/>
  <c r="JU28" i="5"/>
  <c r="JV28" i="5"/>
  <c r="JW28" i="5"/>
  <c r="JX28" i="5"/>
  <c r="JY28" i="5"/>
  <c r="JZ28" i="5"/>
  <c r="KA28" i="5"/>
  <c r="KB28" i="5"/>
  <c r="KC28" i="5"/>
  <c r="KD28" i="5"/>
  <c r="KE28" i="5"/>
  <c r="KF28" i="5"/>
  <c r="KG28" i="5"/>
  <c r="KH28" i="5"/>
  <c r="KI28" i="5"/>
  <c r="KJ28" i="5"/>
  <c r="KK28" i="5"/>
  <c r="KL28" i="5"/>
  <c r="KM28" i="5"/>
  <c r="KN28" i="5"/>
  <c r="KO28" i="5"/>
  <c r="KP28" i="5"/>
  <c r="KQ28" i="5"/>
  <c r="KR28" i="5"/>
  <c r="KS28" i="5"/>
  <c r="KT28" i="5"/>
  <c r="KU28" i="5"/>
  <c r="KV28" i="5"/>
  <c r="KW28" i="5"/>
  <c r="KX28" i="5"/>
  <c r="KY28" i="5"/>
  <c r="KZ28" i="5"/>
  <c r="LA28" i="5"/>
  <c r="LB28" i="5"/>
  <c r="LC28" i="5"/>
  <c r="LD28" i="5"/>
  <c r="LE28" i="5"/>
  <c r="LF28" i="5"/>
  <c r="LG28" i="5"/>
  <c r="LH28" i="5"/>
  <c r="LI28" i="5"/>
  <c r="LJ28" i="5"/>
  <c r="LK28" i="5"/>
  <c r="LL28" i="5"/>
  <c r="LM28" i="5"/>
  <c r="LN28" i="5"/>
  <c r="LO28" i="5"/>
  <c r="LP28" i="5"/>
  <c r="LQ28" i="5"/>
  <c r="LR28" i="5"/>
  <c r="LS28" i="5"/>
  <c r="LT28" i="5"/>
  <c r="LU28" i="5"/>
  <c r="LV28" i="5"/>
  <c r="LW28" i="5"/>
  <c r="LX28" i="5"/>
  <c r="LY28" i="5"/>
  <c r="LZ28" i="5"/>
  <c r="MA28" i="5"/>
  <c r="MB28" i="5"/>
  <c r="MC28" i="5"/>
  <c r="MD28" i="5"/>
  <c r="ME28" i="5"/>
  <c r="MF28" i="5"/>
  <c r="MG28" i="5"/>
  <c r="AU29" i="5"/>
  <c r="AV29" i="5"/>
  <c r="AW29" i="5"/>
  <c r="AX29" i="5"/>
  <c r="AY29" i="5"/>
  <c r="AZ29" i="5"/>
  <c r="BA29" i="5"/>
  <c r="BB29" i="5"/>
  <c r="BC29" i="5"/>
  <c r="BD29" i="5"/>
  <c r="BE29" i="5"/>
  <c r="BF29" i="5"/>
  <c r="BG29" i="5"/>
  <c r="BH29" i="5"/>
  <c r="BI29" i="5"/>
  <c r="BJ29" i="5"/>
  <c r="BK29" i="5"/>
  <c r="BL29" i="5"/>
  <c r="BM29" i="5"/>
  <c r="BN29" i="5"/>
  <c r="BO29" i="5"/>
  <c r="BP29" i="5"/>
  <c r="BQ29" i="5"/>
  <c r="BR29" i="5"/>
  <c r="BS29" i="5"/>
  <c r="BT29" i="5"/>
  <c r="BU29" i="5"/>
  <c r="BV29" i="5"/>
  <c r="BW29" i="5"/>
  <c r="BX29" i="5"/>
  <c r="BY29" i="5"/>
  <c r="BZ29" i="5"/>
  <c r="CA29" i="5"/>
  <c r="CB29" i="5"/>
  <c r="CC29" i="5"/>
  <c r="CD29" i="5"/>
  <c r="CE29" i="5"/>
  <c r="CF29" i="5"/>
  <c r="CG29" i="5"/>
  <c r="CH29" i="5"/>
  <c r="CI29" i="5"/>
  <c r="CJ29" i="5"/>
  <c r="CK29" i="5"/>
  <c r="CL29" i="5"/>
  <c r="CM29" i="5"/>
  <c r="CN29" i="5"/>
  <c r="CO29" i="5"/>
  <c r="CP29" i="5"/>
  <c r="CQ29" i="5"/>
  <c r="CR29" i="5"/>
  <c r="CS29" i="5"/>
  <c r="CT29" i="5"/>
  <c r="CU29" i="5"/>
  <c r="CV29" i="5"/>
  <c r="CW29" i="5"/>
  <c r="CX29" i="5"/>
  <c r="CY29" i="5"/>
  <c r="CZ29" i="5"/>
  <c r="DA29" i="5"/>
  <c r="DB29" i="5"/>
  <c r="DC29" i="5"/>
  <c r="DD29" i="5"/>
  <c r="DE29" i="5"/>
  <c r="DF29" i="5"/>
  <c r="DG29" i="5"/>
  <c r="DH29" i="5"/>
  <c r="DI29" i="5"/>
  <c r="DJ29" i="5"/>
  <c r="DK29" i="5"/>
  <c r="DL29" i="5"/>
  <c r="DM29" i="5"/>
  <c r="DN29" i="5"/>
  <c r="DO29" i="5"/>
  <c r="DP29" i="5"/>
  <c r="DQ29" i="5"/>
  <c r="DR29" i="5"/>
  <c r="DS29" i="5"/>
  <c r="DT29" i="5"/>
  <c r="DU29" i="5"/>
  <c r="DV29" i="5"/>
  <c r="DW29" i="5"/>
  <c r="DX29" i="5"/>
  <c r="DY29" i="5"/>
  <c r="DZ29" i="5"/>
  <c r="EA29" i="5"/>
  <c r="EB29" i="5"/>
  <c r="EC29" i="5"/>
  <c r="ED29" i="5"/>
  <c r="EE29" i="5"/>
  <c r="EF29" i="5"/>
  <c r="EG29" i="5"/>
  <c r="EH29" i="5"/>
  <c r="EI29" i="5"/>
  <c r="EJ29" i="5"/>
  <c r="EK29" i="5"/>
  <c r="EL29" i="5"/>
  <c r="EM29" i="5"/>
  <c r="EN29" i="5"/>
  <c r="EO29" i="5"/>
  <c r="EP29" i="5"/>
  <c r="EQ29" i="5"/>
  <c r="ER29" i="5"/>
  <c r="ES29" i="5"/>
  <c r="ET29" i="5"/>
  <c r="EU29" i="5"/>
  <c r="EV29" i="5"/>
  <c r="EW29" i="5"/>
  <c r="EX29" i="5"/>
  <c r="EY29" i="5"/>
  <c r="EZ29" i="5"/>
  <c r="FA29" i="5"/>
  <c r="FB29" i="5"/>
  <c r="FC29" i="5"/>
  <c r="FD29" i="5"/>
  <c r="FE29" i="5"/>
  <c r="FF29" i="5"/>
  <c r="FG29" i="5"/>
  <c r="FH29" i="5"/>
  <c r="FI29" i="5"/>
  <c r="FJ29" i="5"/>
  <c r="FK29" i="5"/>
  <c r="FL29" i="5"/>
  <c r="FM29" i="5"/>
  <c r="FN29" i="5"/>
  <c r="FO29" i="5"/>
  <c r="FP29" i="5"/>
  <c r="FQ29" i="5"/>
  <c r="FR29" i="5"/>
  <c r="FS29" i="5"/>
  <c r="FT29" i="5"/>
  <c r="FU29" i="5"/>
  <c r="FV29" i="5"/>
  <c r="FW29" i="5"/>
  <c r="FX29" i="5"/>
  <c r="FY29" i="5"/>
  <c r="FZ29" i="5"/>
  <c r="GA29" i="5"/>
  <c r="GB29" i="5"/>
  <c r="GC29" i="5"/>
  <c r="GD29" i="5"/>
  <c r="GE29" i="5"/>
  <c r="GF29" i="5"/>
  <c r="GG29" i="5"/>
  <c r="GH29" i="5"/>
  <c r="GI29" i="5"/>
  <c r="GJ29" i="5"/>
  <c r="GK29" i="5"/>
  <c r="GL29" i="5"/>
  <c r="GM29" i="5"/>
  <c r="GN29" i="5"/>
  <c r="GO29" i="5"/>
  <c r="GP29" i="5"/>
  <c r="GQ29" i="5"/>
  <c r="GR29" i="5"/>
  <c r="GS29" i="5"/>
  <c r="GT29" i="5"/>
  <c r="GU29" i="5"/>
  <c r="GV29" i="5"/>
  <c r="GW29" i="5"/>
  <c r="GX29" i="5"/>
  <c r="GY29" i="5"/>
  <c r="GZ29" i="5"/>
  <c r="HA29" i="5"/>
  <c r="HB29" i="5"/>
  <c r="HC29" i="5"/>
  <c r="HD29" i="5"/>
  <c r="HE29" i="5"/>
  <c r="HF29" i="5"/>
  <c r="HG29" i="5"/>
  <c r="HH29" i="5"/>
  <c r="HI29" i="5"/>
  <c r="HJ29" i="5"/>
  <c r="HK29" i="5"/>
  <c r="HL29" i="5"/>
  <c r="HM29" i="5"/>
  <c r="HN29" i="5"/>
  <c r="HO29" i="5"/>
  <c r="HP29" i="5"/>
  <c r="HQ29" i="5"/>
  <c r="HR29" i="5"/>
  <c r="HS29" i="5"/>
  <c r="HT29" i="5"/>
  <c r="HU29" i="5"/>
  <c r="HV29" i="5"/>
  <c r="HW29" i="5"/>
  <c r="HX29" i="5"/>
  <c r="HY29" i="5"/>
  <c r="HZ29" i="5"/>
  <c r="IA29" i="5"/>
  <c r="IB29" i="5"/>
  <c r="IC29" i="5"/>
  <c r="ID29" i="5"/>
  <c r="IE29" i="5"/>
  <c r="IF29" i="5"/>
  <c r="IG29" i="5"/>
  <c r="IH29" i="5"/>
  <c r="II29" i="5"/>
  <c r="IJ29" i="5"/>
  <c r="IK29" i="5"/>
  <c r="IL29" i="5"/>
  <c r="IM29" i="5"/>
  <c r="IN29" i="5"/>
  <c r="IO29" i="5"/>
  <c r="IP29" i="5"/>
  <c r="IQ29" i="5"/>
  <c r="IR29" i="5"/>
  <c r="IS29" i="5"/>
  <c r="IT29" i="5"/>
  <c r="IU29" i="5"/>
  <c r="IV29" i="5"/>
  <c r="IW29" i="5"/>
  <c r="IX29" i="5"/>
  <c r="IY29" i="5"/>
  <c r="IZ29" i="5"/>
  <c r="JA29" i="5"/>
  <c r="JB29" i="5"/>
  <c r="JC29" i="5"/>
  <c r="JD29" i="5"/>
  <c r="JE29" i="5"/>
  <c r="JF29" i="5"/>
  <c r="JG29" i="5"/>
  <c r="JH29" i="5"/>
  <c r="JI29" i="5"/>
  <c r="JJ29" i="5"/>
  <c r="JK29" i="5"/>
  <c r="JL29" i="5"/>
  <c r="JM29" i="5"/>
  <c r="JN29" i="5"/>
  <c r="JO29" i="5"/>
  <c r="JP29" i="5"/>
  <c r="JQ29" i="5"/>
  <c r="JR29" i="5"/>
  <c r="JS29" i="5"/>
  <c r="JT29" i="5"/>
  <c r="JU29" i="5"/>
  <c r="JV29" i="5"/>
  <c r="JW29" i="5"/>
  <c r="JX29" i="5"/>
  <c r="JY29" i="5"/>
  <c r="JZ29" i="5"/>
  <c r="KA29" i="5"/>
  <c r="KB29" i="5"/>
  <c r="KC29" i="5"/>
  <c r="KD29" i="5"/>
  <c r="KE29" i="5"/>
  <c r="KF29" i="5"/>
  <c r="KG29" i="5"/>
  <c r="KH29" i="5"/>
  <c r="KI29" i="5"/>
  <c r="KJ29" i="5"/>
  <c r="KK29" i="5"/>
  <c r="KL29" i="5"/>
  <c r="KM29" i="5"/>
  <c r="KN29" i="5"/>
  <c r="KO29" i="5"/>
  <c r="KP29" i="5"/>
  <c r="KQ29" i="5"/>
  <c r="KR29" i="5"/>
  <c r="KS29" i="5"/>
  <c r="KT29" i="5"/>
  <c r="KU29" i="5"/>
  <c r="KV29" i="5"/>
  <c r="KW29" i="5"/>
  <c r="KX29" i="5"/>
  <c r="KY29" i="5"/>
  <c r="KZ29" i="5"/>
  <c r="LA29" i="5"/>
  <c r="LB29" i="5"/>
  <c r="LC29" i="5"/>
  <c r="LD29" i="5"/>
  <c r="LE29" i="5"/>
  <c r="LF29" i="5"/>
  <c r="LG29" i="5"/>
  <c r="LH29" i="5"/>
  <c r="LI29" i="5"/>
  <c r="LJ29" i="5"/>
  <c r="LK29" i="5"/>
  <c r="LL29" i="5"/>
  <c r="LM29" i="5"/>
  <c r="LN29" i="5"/>
  <c r="LO29" i="5"/>
  <c r="LP29" i="5"/>
  <c r="LQ29" i="5"/>
  <c r="LR29" i="5"/>
  <c r="LS29" i="5"/>
  <c r="LT29" i="5"/>
  <c r="LU29" i="5"/>
  <c r="LV29" i="5"/>
  <c r="LW29" i="5"/>
  <c r="LX29" i="5"/>
  <c r="LY29" i="5"/>
  <c r="LZ29" i="5"/>
  <c r="MA29" i="5"/>
  <c r="MB29" i="5"/>
  <c r="MC29" i="5"/>
  <c r="MD29" i="5"/>
  <c r="ME29" i="5"/>
  <c r="MF29" i="5"/>
  <c r="MG29" i="5"/>
  <c r="AU30" i="5"/>
  <c r="AV30" i="5"/>
  <c r="AW30" i="5"/>
  <c r="AX30" i="5"/>
  <c r="AY30" i="5"/>
  <c r="AZ30" i="5"/>
  <c r="BA30" i="5"/>
  <c r="BB30" i="5"/>
  <c r="BC30" i="5"/>
  <c r="BD30" i="5"/>
  <c r="BE30" i="5"/>
  <c r="BF30" i="5"/>
  <c r="BG30" i="5"/>
  <c r="BH30" i="5"/>
  <c r="BI30" i="5"/>
  <c r="BJ30" i="5"/>
  <c r="BK30" i="5"/>
  <c r="BL30" i="5"/>
  <c r="BM30" i="5"/>
  <c r="BN30" i="5"/>
  <c r="BO30" i="5"/>
  <c r="BP30" i="5"/>
  <c r="BQ30" i="5"/>
  <c r="BR30" i="5"/>
  <c r="BS30" i="5"/>
  <c r="BT30" i="5"/>
  <c r="BU30" i="5"/>
  <c r="BV30" i="5"/>
  <c r="BW30" i="5"/>
  <c r="BX30" i="5"/>
  <c r="BY30" i="5"/>
  <c r="BZ30" i="5"/>
  <c r="CA30" i="5"/>
  <c r="CB30" i="5"/>
  <c r="CC30" i="5"/>
  <c r="CD30" i="5"/>
  <c r="CE30" i="5"/>
  <c r="CF30" i="5"/>
  <c r="CG30" i="5"/>
  <c r="CH30" i="5"/>
  <c r="CI30" i="5"/>
  <c r="CJ30" i="5"/>
  <c r="CK30" i="5"/>
  <c r="CL30" i="5"/>
  <c r="CM30" i="5"/>
  <c r="CN30" i="5"/>
  <c r="CO30" i="5"/>
  <c r="CP30" i="5"/>
  <c r="CQ30" i="5"/>
  <c r="CR30" i="5"/>
  <c r="CS30" i="5"/>
  <c r="CT30" i="5"/>
  <c r="CU30" i="5"/>
  <c r="CV30" i="5"/>
  <c r="CW30" i="5"/>
  <c r="CX30" i="5"/>
  <c r="CY30" i="5"/>
  <c r="CZ30" i="5"/>
  <c r="DA30" i="5"/>
  <c r="DB30" i="5"/>
  <c r="DC30" i="5"/>
  <c r="DD30" i="5"/>
  <c r="DE30" i="5"/>
  <c r="DF30" i="5"/>
  <c r="DG30" i="5"/>
  <c r="DH30" i="5"/>
  <c r="DI30" i="5"/>
  <c r="DJ30" i="5"/>
  <c r="DK30" i="5"/>
  <c r="DL30" i="5"/>
  <c r="DM30" i="5"/>
  <c r="DN30" i="5"/>
  <c r="DO30" i="5"/>
  <c r="DP30" i="5"/>
  <c r="DQ30" i="5"/>
  <c r="DR30" i="5"/>
  <c r="DS30" i="5"/>
  <c r="DT30" i="5"/>
  <c r="DU30" i="5"/>
  <c r="DV30" i="5"/>
  <c r="DW30" i="5"/>
  <c r="DX30" i="5"/>
  <c r="DY30" i="5"/>
  <c r="DZ30" i="5"/>
  <c r="EA30" i="5"/>
  <c r="EB30" i="5"/>
  <c r="EC30" i="5"/>
  <c r="ED30" i="5"/>
  <c r="EE30" i="5"/>
  <c r="EF30" i="5"/>
  <c r="EG30" i="5"/>
  <c r="EH30" i="5"/>
  <c r="EI30" i="5"/>
  <c r="EJ30" i="5"/>
  <c r="EK30" i="5"/>
  <c r="EL30" i="5"/>
  <c r="EM30" i="5"/>
  <c r="EN30" i="5"/>
  <c r="EO30" i="5"/>
  <c r="EP30" i="5"/>
  <c r="EQ30" i="5"/>
  <c r="ER30" i="5"/>
  <c r="ES30" i="5"/>
  <c r="ET30" i="5"/>
  <c r="EU30" i="5"/>
  <c r="EV30" i="5"/>
  <c r="EW30" i="5"/>
  <c r="EX30" i="5"/>
  <c r="EY30" i="5"/>
  <c r="EZ30" i="5"/>
  <c r="FA30" i="5"/>
  <c r="FB30" i="5"/>
  <c r="FC30" i="5"/>
  <c r="FD30" i="5"/>
  <c r="FE30" i="5"/>
  <c r="FF30" i="5"/>
  <c r="FG30" i="5"/>
  <c r="FH30" i="5"/>
  <c r="FI30" i="5"/>
  <c r="FJ30" i="5"/>
  <c r="FK30" i="5"/>
  <c r="FL30" i="5"/>
  <c r="FM30" i="5"/>
  <c r="FN30" i="5"/>
  <c r="FO30" i="5"/>
  <c r="FP30" i="5"/>
  <c r="FQ30" i="5"/>
  <c r="FR30" i="5"/>
  <c r="FS30" i="5"/>
  <c r="FT30" i="5"/>
  <c r="FU30" i="5"/>
  <c r="FV30" i="5"/>
  <c r="FW30" i="5"/>
  <c r="FX30" i="5"/>
  <c r="FY30" i="5"/>
  <c r="FZ30" i="5"/>
  <c r="GA30" i="5"/>
  <c r="GB30" i="5"/>
  <c r="GC30" i="5"/>
  <c r="GD30" i="5"/>
  <c r="GE30" i="5"/>
  <c r="GF30" i="5"/>
  <c r="GG30" i="5"/>
  <c r="GH30" i="5"/>
  <c r="GI30" i="5"/>
  <c r="GJ30" i="5"/>
  <c r="GK30" i="5"/>
  <c r="GL30" i="5"/>
  <c r="GM30" i="5"/>
  <c r="GN30" i="5"/>
  <c r="GO30" i="5"/>
  <c r="GP30" i="5"/>
  <c r="GQ30" i="5"/>
  <c r="GR30" i="5"/>
  <c r="GS30" i="5"/>
  <c r="GT30" i="5"/>
  <c r="GU30" i="5"/>
  <c r="GV30" i="5"/>
  <c r="GW30" i="5"/>
  <c r="GX30" i="5"/>
  <c r="GY30" i="5"/>
  <c r="GZ30" i="5"/>
  <c r="HA30" i="5"/>
  <c r="HB30" i="5"/>
  <c r="HC30" i="5"/>
  <c r="HD30" i="5"/>
  <c r="HE30" i="5"/>
  <c r="HF30" i="5"/>
  <c r="HG30" i="5"/>
  <c r="HH30" i="5"/>
  <c r="HI30" i="5"/>
  <c r="HJ30" i="5"/>
  <c r="HK30" i="5"/>
  <c r="HL30" i="5"/>
  <c r="HM30" i="5"/>
  <c r="HN30" i="5"/>
  <c r="HO30" i="5"/>
  <c r="HP30" i="5"/>
  <c r="HQ30" i="5"/>
  <c r="HR30" i="5"/>
  <c r="HS30" i="5"/>
  <c r="HT30" i="5"/>
  <c r="HU30" i="5"/>
  <c r="HV30" i="5"/>
  <c r="HW30" i="5"/>
  <c r="HX30" i="5"/>
  <c r="HY30" i="5"/>
  <c r="HZ30" i="5"/>
  <c r="IA30" i="5"/>
  <c r="IB30" i="5"/>
  <c r="IC30" i="5"/>
  <c r="ID30" i="5"/>
  <c r="IE30" i="5"/>
  <c r="IF30" i="5"/>
  <c r="IG30" i="5"/>
  <c r="IH30" i="5"/>
  <c r="II30" i="5"/>
  <c r="IJ30" i="5"/>
  <c r="IK30" i="5"/>
  <c r="IL30" i="5"/>
  <c r="IM30" i="5"/>
  <c r="IN30" i="5"/>
  <c r="IO30" i="5"/>
  <c r="IP30" i="5"/>
  <c r="IQ30" i="5"/>
  <c r="IR30" i="5"/>
  <c r="IS30" i="5"/>
  <c r="IT30" i="5"/>
  <c r="IU30" i="5"/>
  <c r="IV30" i="5"/>
  <c r="IW30" i="5"/>
  <c r="IX30" i="5"/>
  <c r="IY30" i="5"/>
  <c r="IZ30" i="5"/>
  <c r="JA30" i="5"/>
  <c r="JB30" i="5"/>
  <c r="JC30" i="5"/>
  <c r="JD30" i="5"/>
  <c r="JE30" i="5"/>
  <c r="JF30" i="5"/>
  <c r="JG30" i="5"/>
  <c r="JH30" i="5"/>
  <c r="JI30" i="5"/>
  <c r="JJ30" i="5"/>
  <c r="JK30" i="5"/>
  <c r="JL30" i="5"/>
  <c r="JM30" i="5"/>
  <c r="JN30" i="5"/>
  <c r="JO30" i="5"/>
  <c r="JP30" i="5"/>
  <c r="JQ30" i="5"/>
  <c r="JR30" i="5"/>
  <c r="JS30" i="5"/>
  <c r="JT30" i="5"/>
  <c r="JU30" i="5"/>
  <c r="JV30" i="5"/>
  <c r="JW30" i="5"/>
  <c r="JX30" i="5"/>
  <c r="JY30" i="5"/>
  <c r="JZ30" i="5"/>
  <c r="KA30" i="5"/>
  <c r="KB30" i="5"/>
  <c r="KC30" i="5"/>
  <c r="KD30" i="5"/>
  <c r="KE30" i="5"/>
  <c r="KF30" i="5"/>
  <c r="KG30" i="5"/>
  <c r="KH30" i="5"/>
  <c r="KI30" i="5"/>
  <c r="KJ30" i="5"/>
  <c r="KK30" i="5"/>
  <c r="KL30" i="5"/>
  <c r="KM30" i="5"/>
  <c r="KN30" i="5"/>
  <c r="KO30" i="5"/>
  <c r="KP30" i="5"/>
  <c r="KQ30" i="5"/>
  <c r="KR30" i="5"/>
  <c r="KS30" i="5"/>
  <c r="KT30" i="5"/>
  <c r="KU30" i="5"/>
  <c r="KV30" i="5"/>
  <c r="KW30" i="5"/>
  <c r="KX30" i="5"/>
  <c r="KY30" i="5"/>
  <c r="KZ30" i="5"/>
  <c r="LA30" i="5"/>
  <c r="LB30" i="5"/>
  <c r="LC30" i="5"/>
  <c r="LD30" i="5"/>
  <c r="LE30" i="5"/>
  <c r="LF30" i="5"/>
  <c r="LG30" i="5"/>
  <c r="LH30" i="5"/>
  <c r="LI30" i="5"/>
  <c r="LJ30" i="5"/>
  <c r="LK30" i="5"/>
  <c r="LL30" i="5"/>
  <c r="LM30" i="5"/>
  <c r="LN30" i="5"/>
  <c r="LO30" i="5"/>
  <c r="LP30" i="5"/>
  <c r="LQ30" i="5"/>
  <c r="LR30" i="5"/>
  <c r="LS30" i="5"/>
  <c r="LT30" i="5"/>
  <c r="LU30" i="5"/>
  <c r="LV30" i="5"/>
  <c r="LW30" i="5"/>
  <c r="LX30" i="5"/>
  <c r="LY30" i="5"/>
  <c r="LZ30" i="5"/>
  <c r="MA30" i="5"/>
  <c r="MB30" i="5"/>
  <c r="MC30" i="5"/>
  <c r="MD30" i="5"/>
  <c r="ME30" i="5"/>
  <c r="MF30" i="5"/>
  <c r="MG30" i="5"/>
  <c r="AU31" i="5"/>
  <c r="AV31" i="5"/>
  <c r="AW31" i="5"/>
  <c r="AX31" i="5"/>
  <c r="AY31" i="5"/>
  <c r="AZ31" i="5"/>
  <c r="BA31" i="5"/>
  <c r="BB31" i="5"/>
  <c r="BC31" i="5"/>
  <c r="BD31" i="5"/>
  <c r="BE31" i="5"/>
  <c r="BF31" i="5"/>
  <c r="BG31" i="5"/>
  <c r="BH31" i="5"/>
  <c r="BI31" i="5"/>
  <c r="BJ31" i="5"/>
  <c r="BK31" i="5"/>
  <c r="BL31" i="5"/>
  <c r="BM31" i="5"/>
  <c r="BN31" i="5"/>
  <c r="BO31" i="5"/>
  <c r="BP31" i="5"/>
  <c r="BQ31" i="5"/>
  <c r="BR31" i="5"/>
  <c r="BS31" i="5"/>
  <c r="BT31" i="5"/>
  <c r="BU31" i="5"/>
  <c r="BV31" i="5"/>
  <c r="BW31" i="5"/>
  <c r="BX31" i="5"/>
  <c r="BY31" i="5"/>
  <c r="BZ31" i="5"/>
  <c r="CA31" i="5"/>
  <c r="CB31" i="5"/>
  <c r="CC31" i="5"/>
  <c r="CD31" i="5"/>
  <c r="CE31" i="5"/>
  <c r="CF31" i="5"/>
  <c r="CG31" i="5"/>
  <c r="CH31" i="5"/>
  <c r="CI31" i="5"/>
  <c r="CJ31" i="5"/>
  <c r="CK31" i="5"/>
  <c r="CL31" i="5"/>
  <c r="CM31" i="5"/>
  <c r="CN31" i="5"/>
  <c r="CO31" i="5"/>
  <c r="CP31" i="5"/>
  <c r="CQ31" i="5"/>
  <c r="CR31" i="5"/>
  <c r="CS31" i="5"/>
  <c r="CT31" i="5"/>
  <c r="CU31" i="5"/>
  <c r="CV31" i="5"/>
  <c r="CW31" i="5"/>
  <c r="CX31" i="5"/>
  <c r="CY31" i="5"/>
  <c r="CZ31" i="5"/>
  <c r="DA31" i="5"/>
  <c r="DB31" i="5"/>
  <c r="DC31" i="5"/>
  <c r="DD31" i="5"/>
  <c r="DE31" i="5"/>
  <c r="DF31" i="5"/>
  <c r="DG31" i="5"/>
  <c r="DH31" i="5"/>
  <c r="DI31" i="5"/>
  <c r="DJ31" i="5"/>
  <c r="DK31" i="5"/>
  <c r="DL31" i="5"/>
  <c r="DM31" i="5"/>
  <c r="DN31" i="5"/>
  <c r="DO31" i="5"/>
  <c r="DP31" i="5"/>
  <c r="DQ31" i="5"/>
  <c r="DR31" i="5"/>
  <c r="DS31" i="5"/>
  <c r="DT31" i="5"/>
  <c r="DU31" i="5"/>
  <c r="DV31" i="5"/>
  <c r="DW31" i="5"/>
  <c r="DX31" i="5"/>
  <c r="DY31" i="5"/>
  <c r="DZ31" i="5"/>
  <c r="EA31" i="5"/>
  <c r="EB31" i="5"/>
  <c r="EC31" i="5"/>
  <c r="ED31" i="5"/>
  <c r="EE31" i="5"/>
  <c r="EF31" i="5"/>
  <c r="EG31" i="5"/>
  <c r="EH31" i="5"/>
  <c r="EI31" i="5"/>
  <c r="EJ31" i="5"/>
  <c r="EK31" i="5"/>
  <c r="EL31" i="5"/>
  <c r="EM31" i="5"/>
  <c r="EN31" i="5"/>
  <c r="EO31" i="5"/>
  <c r="EP31" i="5"/>
  <c r="EQ31" i="5"/>
  <c r="ER31" i="5"/>
  <c r="ES31" i="5"/>
  <c r="ET31" i="5"/>
  <c r="EU31" i="5"/>
  <c r="EV31" i="5"/>
  <c r="EW31" i="5"/>
  <c r="EX31" i="5"/>
  <c r="EY31" i="5"/>
  <c r="EZ31" i="5"/>
  <c r="FA31" i="5"/>
  <c r="FB31" i="5"/>
  <c r="FC31" i="5"/>
  <c r="FD31" i="5"/>
  <c r="FE31" i="5"/>
  <c r="FF31" i="5"/>
  <c r="FG31" i="5"/>
  <c r="FH31" i="5"/>
  <c r="FI31" i="5"/>
  <c r="FJ31" i="5"/>
  <c r="FK31" i="5"/>
  <c r="FL31" i="5"/>
  <c r="FM31" i="5"/>
  <c r="FN31" i="5"/>
  <c r="FO31" i="5"/>
  <c r="FP31" i="5"/>
  <c r="FQ31" i="5"/>
  <c r="FR31" i="5"/>
  <c r="FS31" i="5"/>
  <c r="FT31" i="5"/>
  <c r="FU31" i="5"/>
  <c r="FV31" i="5"/>
  <c r="FW31" i="5"/>
  <c r="FX31" i="5"/>
  <c r="FY31" i="5"/>
  <c r="FZ31" i="5"/>
  <c r="GA31" i="5"/>
  <c r="GB31" i="5"/>
  <c r="GC31" i="5"/>
  <c r="GD31" i="5"/>
  <c r="GE31" i="5"/>
  <c r="GF31" i="5"/>
  <c r="GG31" i="5"/>
  <c r="GH31" i="5"/>
  <c r="GI31" i="5"/>
  <c r="GJ31" i="5"/>
  <c r="GK31" i="5"/>
  <c r="GL31" i="5"/>
  <c r="GM31" i="5"/>
  <c r="GN31" i="5"/>
  <c r="GO31" i="5"/>
  <c r="GP31" i="5"/>
  <c r="GQ31" i="5"/>
  <c r="GR31" i="5"/>
  <c r="GS31" i="5"/>
  <c r="GT31" i="5"/>
  <c r="GU31" i="5"/>
  <c r="GV31" i="5"/>
  <c r="GW31" i="5"/>
  <c r="GX31" i="5"/>
  <c r="GY31" i="5"/>
  <c r="GZ31" i="5"/>
  <c r="HA31" i="5"/>
  <c r="HB31" i="5"/>
  <c r="HC31" i="5"/>
  <c r="HD31" i="5"/>
  <c r="HE31" i="5"/>
  <c r="HF31" i="5"/>
  <c r="HG31" i="5"/>
  <c r="HH31" i="5"/>
  <c r="HI31" i="5"/>
  <c r="HJ31" i="5"/>
  <c r="HK31" i="5"/>
  <c r="HL31" i="5"/>
  <c r="HM31" i="5"/>
  <c r="HN31" i="5"/>
  <c r="HO31" i="5"/>
  <c r="HP31" i="5"/>
  <c r="HQ31" i="5"/>
  <c r="HR31" i="5"/>
  <c r="HS31" i="5"/>
  <c r="HT31" i="5"/>
  <c r="HU31" i="5"/>
  <c r="HV31" i="5"/>
  <c r="HW31" i="5"/>
  <c r="HX31" i="5"/>
  <c r="HY31" i="5"/>
  <c r="HZ31" i="5"/>
  <c r="IA31" i="5"/>
  <c r="IB31" i="5"/>
  <c r="IC31" i="5"/>
  <c r="ID31" i="5"/>
  <c r="IE31" i="5"/>
  <c r="IF31" i="5"/>
  <c r="IG31" i="5"/>
  <c r="IH31" i="5"/>
  <c r="II31" i="5"/>
  <c r="IJ31" i="5"/>
  <c r="IK31" i="5"/>
  <c r="IL31" i="5"/>
  <c r="IM31" i="5"/>
  <c r="IN31" i="5"/>
  <c r="IO31" i="5"/>
  <c r="IP31" i="5"/>
  <c r="IQ31" i="5"/>
  <c r="IR31" i="5"/>
  <c r="IS31" i="5"/>
  <c r="IT31" i="5"/>
  <c r="IU31" i="5"/>
  <c r="IV31" i="5"/>
  <c r="IW31" i="5"/>
  <c r="IX31" i="5"/>
  <c r="IY31" i="5"/>
  <c r="IZ31" i="5"/>
  <c r="JA31" i="5"/>
  <c r="JB31" i="5"/>
  <c r="JC31" i="5"/>
  <c r="JD31" i="5"/>
  <c r="JE31" i="5"/>
  <c r="JF31" i="5"/>
  <c r="JG31" i="5"/>
  <c r="JH31" i="5"/>
  <c r="JI31" i="5"/>
  <c r="JJ31" i="5"/>
  <c r="JK31" i="5"/>
  <c r="JL31" i="5"/>
  <c r="JM31" i="5"/>
  <c r="JN31" i="5"/>
  <c r="JO31" i="5"/>
  <c r="JP31" i="5"/>
  <c r="JQ31" i="5"/>
  <c r="JR31" i="5"/>
  <c r="JS31" i="5"/>
  <c r="JT31" i="5"/>
  <c r="JU31" i="5"/>
  <c r="JV31" i="5"/>
  <c r="JW31" i="5"/>
  <c r="JX31" i="5"/>
  <c r="JY31" i="5"/>
  <c r="JZ31" i="5"/>
  <c r="KA31" i="5"/>
  <c r="KB31" i="5"/>
  <c r="KC31" i="5"/>
  <c r="KD31" i="5"/>
  <c r="KE31" i="5"/>
  <c r="KF31" i="5"/>
  <c r="KG31" i="5"/>
  <c r="KH31" i="5"/>
  <c r="KI31" i="5"/>
  <c r="KJ31" i="5"/>
  <c r="KK31" i="5"/>
  <c r="KL31" i="5"/>
  <c r="KM31" i="5"/>
  <c r="KN31" i="5"/>
  <c r="KO31" i="5"/>
  <c r="KP31" i="5"/>
  <c r="KQ31" i="5"/>
  <c r="KR31" i="5"/>
  <c r="KS31" i="5"/>
  <c r="KT31" i="5"/>
  <c r="KU31" i="5"/>
  <c r="KV31" i="5"/>
  <c r="KW31" i="5"/>
  <c r="KX31" i="5"/>
  <c r="KY31" i="5"/>
  <c r="KZ31" i="5"/>
  <c r="LA31" i="5"/>
  <c r="LB31" i="5"/>
  <c r="LC31" i="5"/>
  <c r="LD31" i="5"/>
  <c r="LE31" i="5"/>
  <c r="LF31" i="5"/>
  <c r="LG31" i="5"/>
  <c r="LH31" i="5"/>
  <c r="LI31" i="5"/>
  <c r="LJ31" i="5"/>
  <c r="LK31" i="5"/>
  <c r="LL31" i="5"/>
  <c r="LM31" i="5"/>
  <c r="LN31" i="5"/>
  <c r="LO31" i="5"/>
  <c r="LP31" i="5"/>
  <c r="LQ31" i="5"/>
  <c r="LR31" i="5"/>
  <c r="LS31" i="5"/>
  <c r="LT31" i="5"/>
  <c r="LU31" i="5"/>
  <c r="LV31" i="5"/>
  <c r="LW31" i="5"/>
  <c r="LX31" i="5"/>
  <c r="LY31" i="5"/>
  <c r="LZ31" i="5"/>
  <c r="MA31" i="5"/>
  <c r="MB31" i="5"/>
  <c r="MC31" i="5"/>
  <c r="MD31" i="5"/>
  <c r="ME31" i="5"/>
  <c r="MF31" i="5"/>
  <c r="MG31" i="5"/>
  <c r="AU32" i="5"/>
  <c r="AV32" i="5"/>
  <c r="AW32" i="5"/>
  <c r="AX32" i="5"/>
  <c r="AY32" i="5"/>
  <c r="AZ32" i="5"/>
  <c r="BA32" i="5"/>
  <c r="BB32" i="5"/>
  <c r="BC32" i="5"/>
  <c r="BD32" i="5"/>
  <c r="BE32" i="5"/>
  <c r="BF32" i="5"/>
  <c r="BG32" i="5"/>
  <c r="BH32" i="5"/>
  <c r="BI32" i="5"/>
  <c r="BJ32" i="5"/>
  <c r="BK32" i="5"/>
  <c r="BL32" i="5"/>
  <c r="BM32" i="5"/>
  <c r="BN32" i="5"/>
  <c r="BO32" i="5"/>
  <c r="BP32" i="5"/>
  <c r="BQ32" i="5"/>
  <c r="BR32" i="5"/>
  <c r="BS32" i="5"/>
  <c r="BT32" i="5"/>
  <c r="BU32" i="5"/>
  <c r="BV32" i="5"/>
  <c r="BW32" i="5"/>
  <c r="BX32" i="5"/>
  <c r="BY32" i="5"/>
  <c r="BZ32" i="5"/>
  <c r="CA32" i="5"/>
  <c r="CB32" i="5"/>
  <c r="CC32" i="5"/>
  <c r="CD32" i="5"/>
  <c r="CE32" i="5"/>
  <c r="CF32" i="5"/>
  <c r="CG32" i="5"/>
  <c r="CH32" i="5"/>
  <c r="CI32" i="5"/>
  <c r="CJ32" i="5"/>
  <c r="CK32" i="5"/>
  <c r="CL32" i="5"/>
  <c r="CM32" i="5"/>
  <c r="CN32" i="5"/>
  <c r="CO32" i="5"/>
  <c r="CP32" i="5"/>
  <c r="CQ32" i="5"/>
  <c r="CR32" i="5"/>
  <c r="CS32" i="5"/>
  <c r="CT32" i="5"/>
  <c r="CU32" i="5"/>
  <c r="CV32" i="5"/>
  <c r="CW32" i="5"/>
  <c r="CX32" i="5"/>
  <c r="CY32" i="5"/>
  <c r="CZ32" i="5"/>
  <c r="DA32" i="5"/>
  <c r="DB32" i="5"/>
  <c r="DC32" i="5"/>
  <c r="DD32" i="5"/>
  <c r="DE32" i="5"/>
  <c r="DF32" i="5"/>
  <c r="DG32" i="5"/>
  <c r="DH32" i="5"/>
  <c r="DI32" i="5"/>
  <c r="DJ32" i="5"/>
  <c r="DK32" i="5"/>
  <c r="DL32" i="5"/>
  <c r="DM32" i="5"/>
  <c r="DN32" i="5"/>
  <c r="DO32" i="5"/>
  <c r="DP32" i="5"/>
  <c r="DQ32" i="5"/>
  <c r="DR32" i="5"/>
  <c r="DS32" i="5"/>
  <c r="DT32" i="5"/>
  <c r="DU32" i="5"/>
  <c r="DV32" i="5"/>
  <c r="DW32" i="5"/>
  <c r="DX32" i="5"/>
  <c r="DY32" i="5"/>
  <c r="DZ32" i="5"/>
  <c r="EA32" i="5"/>
  <c r="EB32" i="5"/>
  <c r="EC32" i="5"/>
  <c r="ED32" i="5"/>
  <c r="EE32" i="5"/>
  <c r="EF32" i="5"/>
  <c r="EG32" i="5"/>
  <c r="EH32" i="5"/>
  <c r="EI32" i="5"/>
  <c r="EJ32" i="5"/>
  <c r="EK32" i="5"/>
  <c r="EL32" i="5"/>
  <c r="EM32" i="5"/>
  <c r="EN32" i="5"/>
  <c r="EO32" i="5"/>
  <c r="EP32" i="5"/>
  <c r="EQ32" i="5"/>
  <c r="ER32" i="5"/>
  <c r="ES32" i="5"/>
  <c r="ET32" i="5"/>
  <c r="EU32" i="5"/>
  <c r="EV32" i="5"/>
  <c r="EW32" i="5"/>
  <c r="EX32" i="5"/>
  <c r="EY32" i="5"/>
  <c r="EZ32" i="5"/>
  <c r="FA32" i="5"/>
  <c r="FB32" i="5"/>
  <c r="FC32" i="5"/>
  <c r="FD32" i="5"/>
  <c r="FE32" i="5"/>
  <c r="FF32" i="5"/>
  <c r="FG32" i="5"/>
  <c r="FH32" i="5"/>
  <c r="FI32" i="5"/>
  <c r="FJ32" i="5"/>
  <c r="FK32" i="5"/>
  <c r="FL32" i="5"/>
  <c r="FM32" i="5"/>
  <c r="FN32" i="5"/>
  <c r="FO32" i="5"/>
  <c r="FP32" i="5"/>
  <c r="FQ32" i="5"/>
  <c r="FR32" i="5"/>
  <c r="FS32" i="5"/>
  <c r="FT32" i="5"/>
  <c r="FU32" i="5"/>
  <c r="FV32" i="5"/>
  <c r="FW32" i="5"/>
  <c r="FX32" i="5"/>
  <c r="FY32" i="5"/>
  <c r="FZ32" i="5"/>
  <c r="GA32" i="5"/>
  <c r="GB32" i="5"/>
  <c r="GC32" i="5"/>
  <c r="GD32" i="5"/>
  <c r="GE32" i="5"/>
  <c r="GF32" i="5"/>
  <c r="GG32" i="5"/>
  <c r="GH32" i="5"/>
  <c r="GI32" i="5"/>
  <c r="GJ32" i="5"/>
  <c r="GK32" i="5"/>
  <c r="GL32" i="5"/>
  <c r="GM32" i="5"/>
  <c r="GN32" i="5"/>
  <c r="GO32" i="5"/>
  <c r="GP32" i="5"/>
  <c r="GQ32" i="5"/>
  <c r="GR32" i="5"/>
  <c r="GS32" i="5"/>
  <c r="GT32" i="5"/>
  <c r="GU32" i="5"/>
  <c r="GV32" i="5"/>
  <c r="GW32" i="5"/>
  <c r="GX32" i="5"/>
  <c r="GY32" i="5"/>
  <c r="GZ32" i="5"/>
  <c r="HA32" i="5"/>
  <c r="HB32" i="5"/>
  <c r="HC32" i="5"/>
  <c r="HD32" i="5"/>
  <c r="HE32" i="5"/>
  <c r="HF32" i="5"/>
  <c r="HG32" i="5"/>
  <c r="HH32" i="5"/>
  <c r="HI32" i="5"/>
  <c r="HJ32" i="5"/>
  <c r="HK32" i="5"/>
  <c r="HL32" i="5"/>
  <c r="HM32" i="5"/>
  <c r="HN32" i="5"/>
  <c r="HO32" i="5"/>
  <c r="HP32" i="5"/>
  <c r="HQ32" i="5"/>
  <c r="HR32" i="5"/>
  <c r="HS32" i="5"/>
  <c r="HT32" i="5"/>
  <c r="HU32" i="5"/>
  <c r="HV32" i="5"/>
  <c r="HW32" i="5"/>
  <c r="HX32" i="5"/>
  <c r="HY32" i="5"/>
  <c r="HZ32" i="5"/>
  <c r="IA32" i="5"/>
  <c r="IB32" i="5"/>
  <c r="IC32" i="5"/>
  <c r="ID32" i="5"/>
  <c r="IE32" i="5"/>
  <c r="IF32" i="5"/>
  <c r="IG32" i="5"/>
  <c r="IH32" i="5"/>
  <c r="II32" i="5"/>
  <c r="IJ32" i="5"/>
  <c r="IK32" i="5"/>
  <c r="IL32" i="5"/>
  <c r="IM32" i="5"/>
  <c r="IN32" i="5"/>
  <c r="IO32" i="5"/>
  <c r="IP32" i="5"/>
  <c r="IQ32" i="5"/>
  <c r="IR32" i="5"/>
  <c r="IS32" i="5"/>
  <c r="IT32" i="5"/>
  <c r="IU32" i="5"/>
  <c r="IV32" i="5"/>
  <c r="IW32" i="5"/>
  <c r="IX32" i="5"/>
  <c r="IY32" i="5"/>
  <c r="IZ32" i="5"/>
  <c r="JA32" i="5"/>
  <c r="JB32" i="5"/>
  <c r="JC32" i="5"/>
  <c r="JD32" i="5"/>
  <c r="JE32" i="5"/>
  <c r="JF32" i="5"/>
  <c r="JG32" i="5"/>
  <c r="JH32" i="5"/>
  <c r="JI32" i="5"/>
  <c r="JJ32" i="5"/>
  <c r="JK32" i="5"/>
  <c r="JL32" i="5"/>
  <c r="JM32" i="5"/>
  <c r="JN32" i="5"/>
  <c r="JO32" i="5"/>
  <c r="JP32" i="5"/>
  <c r="JQ32" i="5"/>
  <c r="JR32" i="5"/>
  <c r="JS32" i="5"/>
  <c r="JT32" i="5"/>
  <c r="JU32" i="5"/>
  <c r="JV32" i="5"/>
  <c r="JW32" i="5"/>
  <c r="JX32" i="5"/>
  <c r="JY32" i="5"/>
  <c r="JZ32" i="5"/>
  <c r="KA32" i="5"/>
  <c r="KB32" i="5"/>
  <c r="KC32" i="5"/>
  <c r="KD32" i="5"/>
  <c r="KE32" i="5"/>
  <c r="KF32" i="5"/>
  <c r="KG32" i="5"/>
  <c r="KH32" i="5"/>
  <c r="KI32" i="5"/>
  <c r="KJ32" i="5"/>
  <c r="KK32" i="5"/>
  <c r="KL32" i="5"/>
  <c r="KM32" i="5"/>
  <c r="KN32" i="5"/>
  <c r="KO32" i="5"/>
  <c r="KP32" i="5"/>
  <c r="KQ32" i="5"/>
  <c r="KR32" i="5"/>
  <c r="KS32" i="5"/>
  <c r="KT32" i="5"/>
  <c r="KU32" i="5"/>
  <c r="KV32" i="5"/>
  <c r="KW32" i="5"/>
  <c r="KX32" i="5"/>
  <c r="KY32" i="5"/>
  <c r="KZ32" i="5"/>
  <c r="LA32" i="5"/>
  <c r="LB32" i="5"/>
  <c r="LC32" i="5"/>
  <c r="LD32" i="5"/>
  <c r="LE32" i="5"/>
  <c r="LF32" i="5"/>
  <c r="LG32" i="5"/>
  <c r="LH32" i="5"/>
  <c r="LI32" i="5"/>
  <c r="LJ32" i="5"/>
  <c r="LK32" i="5"/>
  <c r="LL32" i="5"/>
  <c r="LM32" i="5"/>
  <c r="LN32" i="5"/>
  <c r="LO32" i="5"/>
  <c r="LP32" i="5"/>
  <c r="LQ32" i="5"/>
  <c r="LR32" i="5"/>
  <c r="LS32" i="5"/>
  <c r="LT32" i="5"/>
  <c r="LU32" i="5"/>
  <c r="LV32" i="5"/>
  <c r="LW32" i="5"/>
  <c r="LX32" i="5"/>
  <c r="LY32" i="5"/>
  <c r="LZ32" i="5"/>
  <c r="MA32" i="5"/>
  <c r="MB32" i="5"/>
  <c r="MC32" i="5"/>
  <c r="MD32" i="5"/>
  <c r="ME32" i="5"/>
  <c r="MF32" i="5"/>
  <c r="MG32" i="5"/>
  <c r="AU33" i="5"/>
  <c r="AV33" i="5"/>
  <c r="AW33" i="5"/>
  <c r="AX33" i="5"/>
  <c r="AY33" i="5"/>
  <c r="AZ33" i="5"/>
  <c r="BA33" i="5"/>
  <c r="BB33" i="5"/>
  <c r="BC33" i="5"/>
  <c r="BD33" i="5"/>
  <c r="BE33" i="5"/>
  <c r="BF33" i="5"/>
  <c r="BG33" i="5"/>
  <c r="BH33" i="5"/>
  <c r="BI33" i="5"/>
  <c r="BJ33" i="5"/>
  <c r="BK33" i="5"/>
  <c r="BL33" i="5"/>
  <c r="BM33" i="5"/>
  <c r="BN33" i="5"/>
  <c r="BO33" i="5"/>
  <c r="BP33" i="5"/>
  <c r="BQ33" i="5"/>
  <c r="BR33" i="5"/>
  <c r="BS33" i="5"/>
  <c r="BT33" i="5"/>
  <c r="BU33" i="5"/>
  <c r="BV33" i="5"/>
  <c r="BW33" i="5"/>
  <c r="BX33" i="5"/>
  <c r="BY33" i="5"/>
  <c r="BZ33" i="5"/>
  <c r="CA33" i="5"/>
  <c r="CB33" i="5"/>
  <c r="CC33" i="5"/>
  <c r="CD33" i="5"/>
  <c r="CE33" i="5"/>
  <c r="CF33" i="5"/>
  <c r="CG33" i="5"/>
  <c r="CH33" i="5"/>
  <c r="CI33" i="5"/>
  <c r="CJ33" i="5"/>
  <c r="CK33" i="5"/>
  <c r="CL33" i="5"/>
  <c r="CM33" i="5"/>
  <c r="CN33" i="5"/>
  <c r="CO33" i="5"/>
  <c r="CP33" i="5"/>
  <c r="CQ33" i="5"/>
  <c r="CR33" i="5"/>
  <c r="CS33" i="5"/>
  <c r="CT33" i="5"/>
  <c r="CU33" i="5"/>
  <c r="CV33" i="5"/>
  <c r="CW33" i="5"/>
  <c r="CX33" i="5"/>
  <c r="CY33" i="5"/>
  <c r="CZ33" i="5"/>
  <c r="DA33" i="5"/>
  <c r="DB33" i="5"/>
  <c r="DC33" i="5"/>
  <c r="DD33" i="5"/>
  <c r="DE33" i="5"/>
  <c r="DF33" i="5"/>
  <c r="DG33" i="5"/>
  <c r="DH33" i="5"/>
  <c r="DI33" i="5"/>
  <c r="DJ33" i="5"/>
  <c r="DK33" i="5"/>
  <c r="DL33" i="5"/>
  <c r="DM33" i="5"/>
  <c r="DN33" i="5"/>
  <c r="DO33" i="5"/>
  <c r="DP33" i="5"/>
  <c r="DQ33" i="5"/>
  <c r="DR33" i="5"/>
  <c r="DS33" i="5"/>
  <c r="DT33" i="5"/>
  <c r="DU33" i="5"/>
  <c r="DV33" i="5"/>
  <c r="DW33" i="5"/>
  <c r="DX33" i="5"/>
  <c r="DY33" i="5"/>
  <c r="DZ33" i="5"/>
  <c r="EA33" i="5"/>
  <c r="EB33" i="5"/>
  <c r="EC33" i="5"/>
  <c r="ED33" i="5"/>
  <c r="EE33" i="5"/>
  <c r="EF33" i="5"/>
  <c r="EG33" i="5"/>
  <c r="EH33" i="5"/>
  <c r="EI33" i="5"/>
  <c r="EJ33" i="5"/>
  <c r="EK33" i="5"/>
  <c r="EL33" i="5"/>
  <c r="EM33" i="5"/>
  <c r="EN33" i="5"/>
  <c r="EO33" i="5"/>
  <c r="EP33" i="5"/>
  <c r="EQ33" i="5"/>
  <c r="ER33" i="5"/>
  <c r="ES33" i="5"/>
  <c r="ET33" i="5"/>
  <c r="EU33" i="5"/>
  <c r="EV33" i="5"/>
  <c r="EW33" i="5"/>
  <c r="EX33" i="5"/>
  <c r="EY33" i="5"/>
  <c r="EZ33" i="5"/>
  <c r="FA33" i="5"/>
  <c r="FB33" i="5"/>
  <c r="FC33" i="5"/>
  <c r="FD33" i="5"/>
  <c r="FE33" i="5"/>
  <c r="FF33" i="5"/>
  <c r="FG33" i="5"/>
  <c r="FH33" i="5"/>
  <c r="FI33" i="5"/>
  <c r="FJ33" i="5"/>
  <c r="FK33" i="5"/>
  <c r="FL33" i="5"/>
  <c r="FM33" i="5"/>
  <c r="FN33" i="5"/>
  <c r="FO33" i="5"/>
  <c r="FP33" i="5"/>
  <c r="FQ33" i="5"/>
  <c r="FR33" i="5"/>
  <c r="FS33" i="5"/>
  <c r="FT33" i="5"/>
  <c r="FU33" i="5"/>
  <c r="FV33" i="5"/>
  <c r="FW33" i="5"/>
  <c r="FX33" i="5"/>
  <c r="FY33" i="5"/>
  <c r="FZ33" i="5"/>
  <c r="GA33" i="5"/>
  <c r="GB33" i="5"/>
  <c r="GC33" i="5"/>
  <c r="GD33" i="5"/>
  <c r="GE33" i="5"/>
  <c r="GF33" i="5"/>
  <c r="GG33" i="5"/>
  <c r="GH33" i="5"/>
  <c r="GI33" i="5"/>
  <c r="GJ33" i="5"/>
  <c r="GK33" i="5"/>
  <c r="GL33" i="5"/>
  <c r="GM33" i="5"/>
  <c r="GN33" i="5"/>
  <c r="GO33" i="5"/>
  <c r="GP33" i="5"/>
  <c r="GQ33" i="5"/>
  <c r="GR33" i="5"/>
  <c r="GS33" i="5"/>
  <c r="GT33" i="5"/>
  <c r="GU33" i="5"/>
  <c r="GV33" i="5"/>
  <c r="GW33" i="5"/>
  <c r="GX33" i="5"/>
  <c r="GY33" i="5"/>
  <c r="GZ33" i="5"/>
  <c r="HA33" i="5"/>
  <c r="HB33" i="5"/>
  <c r="HC33" i="5"/>
  <c r="HD33" i="5"/>
  <c r="HE33" i="5"/>
  <c r="HF33" i="5"/>
  <c r="HG33" i="5"/>
  <c r="HH33" i="5"/>
  <c r="HI33" i="5"/>
  <c r="HJ33" i="5"/>
  <c r="HK33" i="5"/>
  <c r="HL33" i="5"/>
  <c r="HM33" i="5"/>
  <c r="HN33" i="5"/>
  <c r="HO33" i="5"/>
  <c r="HP33" i="5"/>
  <c r="HQ33" i="5"/>
  <c r="HR33" i="5"/>
  <c r="HS33" i="5"/>
  <c r="HT33" i="5"/>
  <c r="HU33" i="5"/>
  <c r="HV33" i="5"/>
  <c r="HW33" i="5"/>
  <c r="HX33" i="5"/>
  <c r="HY33" i="5"/>
  <c r="HZ33" i="5"/>
  <c r="IA33" i="5"/>
  <c r="IB33" i="5"/>
  <c r="IC33" i="5"/>
  <c r="ID33" i="5"/>
  <c r="IE33" i="5"/>
  <c r="IF33" i="5"/>
  <c r="IG33" i="5"/>
  <c r="IH33" i="5"/>
  <c r="II33" i="5"/>
  <c r="IJ33" i="5"/>
  <c r="IK33" i="5"/>
  <c r="IL33" i="5"/>
  <c r="IM33" i="5"/>
  <c r="IN33" i="5"/>
  <c r="IO33" i="5"/>
  <c r="IP33" i="5"/>
  <c r="IQ33" i="5"/>
  <c r="IR33" i="5"/>
  <c r="IS33" i="5"/>
  <c r="IT33" i="5"/>
  <c r="IU33" i="5"/>
  <c r="IV33" i="5"/>
  <c r="IW33" i="5"/>
  <c r="IX33" i="5"/>
  <c r="IY33" i="5"/>
  <c r="IZ33" i="5"/>
  <c r="JA33" i="5"/>
  <c r="JB33" i="5"/>
  <c r="JC33" i="5"/>
  <c r="JD33" i="5"/>
  <c r="JE33" i="5"/>
  <c r="JF33" i="5"/>
  <c r="JG33" i="5"/>
  <c r="JH33" i="5"/>
  <c r="JI33" i="5"/>
  <c r="JJ33" i="5"/>
  <c r="JK33" i="5"/>
  <c r="JL33" i="5"/>
  <c r="JM33" i="5"/>
  <c r="JN33" i="5"/>
  <c r="JO33" i="5"/>
  <c r="JP33" i="5"/>
  <c r="JQ33" i="5"/>
  <c r="JR33" i="5"/>
  <c r="JS33" i="5"/>
  <c r="JT33" i="5"/>
  <c r="JU33" i="5"/>
  <c r="JV33" i="5"/>
  <c r="JW33" i="5"/>
  <c r="JX33" i="5"/>
  <c r="JY33" i="5"/>
  <c r="JZ33" i="5"/>
  <c r="KA33" i="5"/>
  <c r="KB33" i="5"/>
  <c r="KC33" i="5"/>
  <c r="KD33" i="5"/>
  <c r="KE33" i="5"/>
  <c r="KF33" i="5"/>
  <c r="KG33" i="5"/>
  <c r="KH33" i="5"/>
  <c r="KI33" i="5"/>
  <c r="KJ33" i="5"/>
  <c r="KK33" i="5"/>
  <c r="KL33" i="5"/>
  <c r="KM33" i="5"/>
  <c r="KN33" i="5"/>
  <c r="KO33" i="5"/>
  <c r="KP33" i="5"/>
  <c r="KQ33" i="5"/>
  <c r="KR33" i="5"/>
  <c r="KS33" i="5"/>
  <c r="KT33" i="5"/>
  <c r="KU33" i="5"/>
  <c r="KV33" i="5"/>
  <c r="KW33" i="5"/>
  <c r="KX33" i="5"/>
  <c r="KY33" i="5"/>
  <c r="KZ33" i="5"/>
  <c r="LA33" i="5"/>
  <c r="LB33" i="5"/>
  <c r="LC33" i="5"/>
  <c r="LD33" i="5"/>
  <c r="LE33" i="5"/>
  <c r="LF33" i="5"/>
  <c r="LG33" i="5"/>
  <c r="LH33" i="5"/>
  <c r="LI33" i="5"/>
  <c r="LJ33" i="5"/>
  <c r="LK33" i="5"/>
  <c r="LL33" i="5"/>
  <c r="LM33" i="5"/>
  <c r="LN33" i="5"/>
  <c r="LO33" i="5"/>
  <c r="LP33" i="5"/>
  <c r="LQ33" i="5"/>
  <c r="LR33" i="5"/>
  <c r="LS33" i="5"/>
  <c r="LT33" i="5"/>
  <c r="LU33" i="5"/>
  <c r="LV33" i="5"/>
  <c r="LW33" i="5"/>
  <c r="LX33" i="5"/>
  <c r="LY33" i="5"/>
  <c r="LZ33" i="5"/>
  <c r="MA33" i="5"/>
  <c r="MB33" i="5"/>
  <c r="MC33" i="5"/>
  <c r="MD33" i="5"/>
  <c r="ME33" i="5"/>
  <c r="MF33" i="5"/>
  <c r="MG33" i="5"/>
  <c r="AU34" i="5"/>
  <c r="AV34" i="5"/>
  <c r="AW34" i="5"/>
  <c r="AX34" i="5"/>
  <c r="AY34" i="5"/>
  <c r="AZ34" i="5"/>
  <c r="BA34" i="5"/>
  <c r="BB34" i="5"/>
  <c r="BC34" i="5"/>
  <c r="BD34" i="5"/>
  <c r="BE34" i="5"/>
  <c r="BF34" i="5"/>
  <c r="BG34" i="5"/>
  <c r="BH34" i="5"/>
  <c r="BI34" i="5"/>
  <c r="BJ34" i="5"/>
  <c r="BK34" i="5"/>
  <c r="BL34" i="5"/>
  <c r="BM34" i="5"/>
  <c r="BN34" i="5"/>
  <c r="BO34" i="5"/>
  <c r="BP34" i="5"/>
  <c r="BQ34" i="5"/>
  <c r="BR34" i="5"/>
  <c r="BS34" i="5"/>
  <c r="BT34" i="5"/>
  <c r="BU34" i="5"/>
  <c r="BV34" i="5"/>
  <c r="BW34" i="5"/>
  <c r="BX34" i="5"/>
  <c r="BY34" i="5"/>
  <c r="BZ34" i="5"/>
  <c r="CA34" i="5"/>
  <c r="CB34" i="5"/>
  <c r="CC34" i="5"/>
  <c r="CD34" i="5"/>
  <c r="CE34" i="5"/>
  <c r="CF34" i="5"/>
  <c r="CG34" i="5"/>
  <c r="CH34" i="5"/>
  <c r="CI34" i="5"/>
  <c r="CJ34" i="5"/>
  <c r="CK34" i="5"/>
  <c r="CL34" i="5"/>
  <c r="CM34" i="5"/>
  <c r="CN34" i="5"/>
  <c r="CO34" i="5"/>
  <c r="CP34" i="5"/>
  <c r="CQ34" i="5"/>
  <c r="CR34" i="5"/>
  <c r="CS34" i="5"/>
  <c r="CT34" i="5"/>
  <c r="CU34" i="5"/>
  <c r="CV34" i="5"/>
  <c r="CW34" i="5"/>
  <c r="CX34" i="5"/>
  <c r="CY34" i="5"/>
  <c r="CZ34" i="5"/>
  <c r="DA34" i="5"/>
  <c r="DB34" i="5"/>
  <c r="DC34" i="5"/>
  <c r="DD34" i="5"/>
  <c r="DE34" i="5"/>
  <c r="DF34" i="5"/>
  <c r="DG34" i="5"/>
  <c r="DH34" i="5"/>
  <c r="DI34" i="5"/>
  <c r="DJ34" i="5"/>
  <c r="DK34" i="5"/>
  <c r="DL34" i="5"/>
  <c r="DM34" i="5"/>
  <c r="DN34" i="5"/>
  <c r="DO34" i="5"/>
  <c r="DP34" i="5"/>
  <c r="DQ34" i="5"/>
  <c r="DR34" i="5"/>
  <c r="DS34" i="5"/>
  <c r="DT34" i="5"/>
  <c r="DU34" i="5"/>
  <c r="DV34" i="5"/>
  <c r="DW34" i="5"/>
  <c r="DX34" i="5"/>
  <c r="DY34" i="5"/>
  <c r="DZ34" i="5"/>
  <c r="EA34" i="5"/>
  <c r="EB34" i="5"/>
  <c r="EC34" i="5"/>
  <c r="ED34" i="5"/>
  <c r="EE34" i="5"/>
  <c r="EF34" i="5"/>
  <c r="EG34" i="5"/>
  <c r="EH34" i="5"/>
  <c r="EI34" i="5"/>
  <c r="EJ34" i="5"/>
  <c r="EK34" i="5"/>
  <c r="EL34" i="5"/>
  <c r="EM34" i="5"/>
  <c r="EN34" i="5"/>
  <c r="EO34" i="5"/>
  <c r="EP34" i="5"/>
  <c r="EQ34" i="5"/>
  <c r="ER34" i="5"/>
  <c r="ES34" i="5"/>
  <c r="ET34" i="5"/>
  <c r="EU34" i="5"/>
  <c r="EV34" i="5"/>
  <c r="EW34" i="5"/>
  <c r="EX34" i="5"/>
  <c r="EY34" i="5"/>
  <c r="EZ34" i="5"/>
  <c r="FA34" i="5"/>
  <c r="FB34" i="5"/>
  <c r="FC34" i="5"/>
  <c r="FD34" i="5"/>
  <c r="FE34" i="5"/>
  <c r="FF34" i="5"/>
  <c r="FG34" i="5"/>
  <c r="FH34" i="5"/>
  <c r="FI34" i="5"/>
  <c r="FJ34" i="5"/>
  <c r="FK34" i="5"/>
  <c r="FL34" i="5"/>
  <c r="FM34" i="5"/>
  <c r="FN34" i="5"/>
  <c r="FO34" i="5"/>
  <c r="FP34" i="5"/>
  <c r="FQ34" i="5"/>
  <c r="FR34" i="5"/>
  <c r="FS34" i="5"/>
  <c r="FT34" i="5"/>
  <c r="FU34" i="5"/>
  <c r="FV34" i="5"/>
  <c r="FW34" i="5"/>
  <c r="FX34" i="5"/>
  <c r="FY34" i="5"/>
  <c r="FZ34" i="5"/>
  <c r="GA34" i="5"/>
  <c r="GB34" i="5"/>
  <c r="GC34" i="5"/>
  <c r="GD34" i="5"/>
  <c r="GE34" i="5"/>
  <c r="GF34" i="5"/>
  <c r="GG34" i="5"/>
  <c r="GH34" i="5"/>
  <c r="GI34" i="5"/>
  <c r="GJ34" i="5"/>
  <c r="GK34" i="5"/>
  <c r="GL34" i="5"/>
  <c r="GM34" i="5"/>
  <c r="GN34" i="5"/>
  <c r="GO34" i="5"/>
  <c r="GP34" i="5"/>
  <c r="GQ34" i="5"/>
  <c r="GR34" i="5"/>
  <c r="GS34" i="5"/>
  <c r="GT34" i="5"/>
  <c r="GU34" i="5"/>
  <c r="GV34" i="5"/>
  <c r="GW34" i="5"/>
  <c r="GX34" i="5"/>
  <c r="GY34" i="5"/>
  <c r="GZ34" i="5"/>
  <c r="HA34" i="5"/>
  <c r="HB34" i="5"/>
  <c r="HC34" i="5"/>
  <c r="HD34" i="5"/>
  <c r="HE34" i="5"/>
  <c r="HF34" i="5"/>
  <c r="HG34" i="5"/>
  <c r="HH34" i="5"/>
  <c r="HI34" i="5"/>
  <c r="HJ34" i="5"/>
  <c r="HK34" i="5"/>
  <c r="HL34" i="5"/>
  <c r="HM34" i="5"/>
  <c r="HN34" i="5"/>
  <c r="HO34" i="5"/>
  <c r="HP34" i="5"/>
  <c r="HQ34" i="5"/>
  <c r="HR34" i="5"/>
  <c r="HS34" i="5"/>
  <c r="HT34" i="5"/>
  <c r="HU34" i="5"/>
  <c r="HV34" i="5"/>
  <c r="HW34" i="5"/>
  <c r="HX34" i="5"/>
  <c r="HY34" i="5"/>
  <c r="HZ34" i="5"/>
  <c r="IA34" i="5"/>
  <c r="IB34" i="5"/>
  <c r="IC34" i="5"/>
  <c r="ID34" i="5"/>
  <c r="IE34" i="5"/>
  <c r="IF34" i="5"/>
  <c r="IG34" i="5"/>
  <c r="IH34" i="5"/>
  <c r="II34" i="5"/>
  <c r="IJ34" i="5"/>
  <c r="IK34" i="5"/>
  <c r="IL34" i="5"/>
  <c r="IM34" i="5"/>
  <c r="IN34" i="5"/>
  <c r="IO34" i="5"/>
  <c r="IP34" i="5"/>
  <c r="IQ34" i="5"/>
  <c r="IR34" i="5"/>
  <c r="IS34" i="5"/>
  <c r="IT34" i="5"/>
  <c r="IU34" i="5"/>
  <c r="IV34" i="5"/>
  <c r="IW34" i="5"/>
  <c r="IX34" i="5"/>
  <c r="IY34" i="5"/>
  <c r="IZ34" i="5"/>
  <c r="JA34" i="5"/>
  <c r="JB34" i="5"/>
  <c r="JC34" i="5"/>
  <c r="JD34" i="5"/>
  <c r="JE34" i="5"/>
  <c r="JF34" i="5"/>
  <c r="JG34" i="5"/>
  <c r="JH34" i="5"/>
  <c r="JI34" i="5"/>
  <c r="JJ34" i="5"/>
  <c r="JK34" i="5"/>
  <c r="JL34" i="5"/>
  <c r="JM34" i="5"/>
  <c r="JN34" i="5"/>
  <c r="JO34" i="5"/>
  <c r="JP34" i="5"/>
  <c r="JQ34" i="5"/>
  <c r="JR34" i="5"/>
  <c r="JS34" i="5"/>
  <c r="JT34" i="5"/>
  <c r="JU34" i="5"/>
  <c r="JV34" i="5"/>
  <c r="JW34" i="5"/>
  <c r="JX34" i="5"/>
  <c r="JY34" i="5"/>
  <c r="JZ34" i="5"/>
  <c r="KA34" i="5"/>
  <c r="KB34" i="5"/>
  <c r="KC34" i="5"/>
  <c r="KD34" i="5"/>
  <c r="KE34" i="5"/>
  <c r="KF34" i="5"/>
  <c r="KG34" i="5"/>
  <c r="KH34" i="5"/>
  <c r="KI34" i="5"/>
  <c r="KJ34" i="5"/>
  <c r="KK34" i="5"/>
  <c r="KL34" i="5"/>
  <c r="KM34" i="5"/>
  <c r="KN34" i="5"/>
  <c r="KO34" i="5"/>
  <c r="KP34" i="5"/>
  <c r="KQ34" i="5"/>
  <c r="KR34" i="5"/>
  <c r="KS34" i="5"/>
  <c r="KT34" i="5"/>
  <c r="KU34" i="5"/>
  <c r="KV34" i="5"/>
  <c r="KW34" i="5"/>
  <c r="KX34" i="5"/>
  <c r="KY34" i="5"/>
  <c r="KZ34" i="5"/>
  <c r="LA34" i="5"/>
  <c r="LB34" i="5"/>
  <c r="LC34" i="5"/>
  <c r="LD34" i="5"/>
  <c r="LE34" i="5"/>
  <c r="LF34" i="5"/>
  <c r="LG34" i="5"/>
  <c r="LH34" i="5"/>
  <c r="LI34" i="5"/>
  <c r="LJ34" i="5"/>
  <c r="LK34" i="5"/>
  <c r="LL34" i="5"/>
  <c r="LM34" i="5"/>
  <c r="LN34" i="5"/>
  <c r="LO34" i="5"/>
  <c r="LP34" i="5"/>
  <c r="LQ34" i="5"/>
  <c r="LR34" i="5"/>
  <c r="LS34" i="5"/>
  <c r="LT34" i="5"/>
  <c r="LU34" i="5"/>
  <c r="LV34" i="5"/>
  <c r="LW34" i="5"/>
  <c r="LX34" i="5"/>
  <c r="LY34" i="5"/>
  <c r="LZ34" i="5"/>
  <c r="MA34" i="5"/>
  <c r="MB34" i="5"/>
  <c r="MC34" i="5"/>
  <c r="MD34" i="5"/>
  <c r="ME34" i="5"/>
  <c r="MF34" i="5"/>
  <c r="MG34" i="5"/>
  <c r="AU35" i="5"/>
  <c r="AV35" i="5"/>
  <c r="AW35" i="5"/>
  <c r="AX35" i="5"/>
  <c r="AY35" i="5"/>
  <c r="AZ35" i="5"/>
  <c r="BA35" i="5"/>
  <c r="BB35" i="5"/>
  <c r="BC35" i="5"/>
  <c r="BD35" i="5"/>
  <c r="BE35" i="5"/>
  <c r="BF35" i="5"/>
  <c r="BG35" i="5"/>
  <c r="BH35" i="5"/>
  <c r="BI35" i="5"/>
  <c r="BJ35" i="5"/>
  <c r="BK35" i="5"/>
  <c r="BL35" i="5"/>
  <c r="BM35" i="5"/>
  <c r="BN35" i="5"/>
  <c r="BO35" i="5"/>
  <c r="BP35" i="5"/>
  <c r="BQ35" i="5"/>
  <c r="BR35" i="5"/>
  <c r="BS35" i="5"/>
  <c r="BT35" i="5"/>
  <c r="BU35" i="5"/>
  <c r="BV35" i="5"/>
  <c r="BW35" i="5"/>
  <c r="BX35" i="5"/>
  <c r="BY35" i="5"/>
  <c r="BZ35" i="5"/>
  <c r="CA35" i="5"/>
  <c r="CB35" i="5"/>
  <c r="CC35" i="5"/>
  <c r="CD35" i="5"/>
  <c r="CE35" i="5"/>
  <c r="CF35" i="5"/>
  <c r="CG35" i="5"/>
  <c r="CH35" i="5"/>
  <c r="CI35" i="5"/>
  <c r="CJ35" i="5"/>
  <c r="CK35" i="5"/>
  <c r="CL35" i="5"/>
  <c r="CM35" i="5"/>
  <c r="CN35" i="5"/>
  <c r="CO35" i="5"/>
  <c r="CP35" i="5"/>
  <c r="CQ35" i="5"/>
  <c r="CR35" i="5"/>
  <c r="CS35" i="5"/>
  <c r="CT35" i="5"/>
  <c r="CU35" i="5"/>
  <c r="CV35" i="5"/>
  <c r="CW35" i="5"/>
  <c r="CX35" i="5"/>
  <c r="CY35" i="5"/>
  <c r="CZ35" i="5"/>
  <c r="DA35" i="5"/>
  <c r="DB35" i="5"/>
  <c r="DC35" i="5"/>
  <c r="DD35" i="5"/>
  <c r="DE35" i="5"/>
  <c r="DF35" i="5"/>
  <c r="DG35" i="5"/>
  <c r="DH35" i="5"/>
  <c r="DI35" i="5"/>
  <c r="DJ35" i="5"/>
  <c r="DK35" i="5"/>
  <c r="DL35" i="5"/>
  <c r="DM35" i="5"/>
  <c r="DN35" i="5"/>
  <c r="DO35" i="5"/>
  <c r="DP35" i="5"/>
  <c r="DQ35" i="5"/>
  <c r="DR35" i="5"/>
  <c r="DS35" i="5"/>
  <c r="DT35" i="5"/>
  <c r="DU35" i="5"/>
  <c r="DV35" i="5"/>
  <c r="DW35" i="5"/>
  <c r="DX35" i="5"/>
  <c r="DY35" i="5"/>
  <c r="DZ35" i="5"/>
  <c r="EA35" i="5"/>
  <c r="EB35" i="5"/>
  <c r="EC35" i="5"/>
  <c r="ED35" i="5"/>
  <c r="EE35" i="5"/>
  <c r="EF35" i="5"/>
  <c r="EG35" i="5"/>
  <c r="EH35" i="5"/>
  <c r="EI35" i="5"/>
  <c r="EJ35" i="5"/>
  <c r="EK35" i="5"/>
  <c r="EL35" i="5"/>
  <c r="EM35" i="5"/>
  <c r="EN35" i="5"/>
  <c r="EO35" i="5"/>
  <c r="EP35" i="5"/>
  <c r="EQ35" i="5"/>
  <c r="ER35" i="5"/>
  <c r="ES35" i="5"/>
  <c r="ET35" i="5"/>
  <c r="EU35" i="5"/>
  <c r="EV35" i="5"/>
  <c r="EW35" i="5"/>
  <c r="EX35" i="5"/>
  <c r="EY35" i="5"/>
  <c r="EZ35" i="5"/>
  <c r="FA35" i="5"/>
  <c r="FB35" i="5"/>
  <c r="FC35" i="5"/>
  <c r="FD35" i="5"/>
  <c r="FE35" i="5"/>
  <c r="FF35" i="5"/>
  <c r="FG35" i="5"/>
  <c r="FH35" i="5"/>
  <c r="FI35" i="5"/>
  <c r="FJ35" i="5"/>
  <c r="FK35" i="5"/>
  <c r="FL35" i="5"/>
  <c r="FM35" i="5"/>
  <c r="FN35" i="5"/>
  <c r="FO35" i="5"/>
  <c r="FP35" i="5"/>
  <c r="FQ35" i="5"/>
  <c r="FR35" i="5"/>
  <c r="FS35" i="5"/>
  <c r="FT35" i="5"/>
  <c r="FU35" i="5"/>
  <c r="FV35" i="5"/>
  <c r="FW35" i="5"/>
  <c r="FX35" i="5"/>
  <c r="FY35" i="5"/>
  <c r="FZ35" i="5"/>
  <c r="GA35" i="5"/>
  <c r="GB35" i="5"/>
  <c r="GC35" i="5"/>
  <c r="GD35" i="5"/>
  <c r="GE35" i="5"/>
  <c r="GF35" i="5"/>
  <c r="GG35" i="5"/>
  <c r="GH35" i="5"/>
  <c r="GI35" i="5"/>
  <c r="GJ35" i="5"/>
  <c r="GK35" i="5"/>
  <c r="GL35" i="5"/>
  <c r="GM35" i="5"/>
  <c r="GN35" i="5"/>
  <c r="GO35" i="5"/>
  <c r="GP35" i="5"/>
  <c r="GQ35" i="5"/>
  <c r="GR35" i="5"/>
  <c r="GS35" i="5"/>
  <c r="GT35" i="5"/>
  <c r="GU35" i="5"/>
  <c r="GV35" i="5"/>
  <c r="GW35" i="5"/>
  <c r="GX35" i="5"/>
  <c r="GY35" i="5"/>
  <c r="GZ35" i="5"/>
  <c r="HA35" i="5"/>
  <c r="HB35" i="5"/>
  <c r="HC35" i="5"/>
  <c r="HD35" i="5"/>
  <c r="HE35" i="5"/>
  <c r="HF35" i="5"/>
  <c r="HG35" i="5"/>
  <c r="HH35" i="5"/>
  <c r="HI35" i="5"/>
  <c r="HJ35" i="5"/>
  <c r="HK35" i="5"/>
  <c r="HL35" i="5"/>
  <c r="HM35" i="5"/>
  <c r="HN35" i="5"/>
  <c r="HO35" i="5"/>
  <c r="HP35" i="5"/>
  <c r="HQ35" i="5"/>
  <c r="HR35" i="5"/>
  <c r="HS35" i="5"/>
  <c r="HT35" i="5"/>
  <c r="HU35" i="5"/>
  <c r="HV35" i="5"/>
  <c r="HW35" i="5"/>
  <c r="HX35" i="5"/>
  <c r="HY35" i="5"/>
  <c r="HZ35" i="5"/>
  <c r="IA35" i="5"/>
  <c r="IB35" i="5"/>
  <c r="IC35" i="5"/>
  <c r="ID35" i="5"/>
  <c r="IE35" i="5"/>
  <c r="IF35" i="5"/>
  <c r="IG35" i="5"/>
  <c r="IH35" i="5"/>
  <c r="II35" i="5"/>
  <c r="IJ35" i="5"/>
  <c r="IK35" i="5"/>
  <c r="IL35" i="5"/>
  <c r="IM35" i="5"/>
  <c r="IN35" i="5"/>
  <c r="IO35" i="5"/>
  <c r="IP35" i="5"/>
  <c r="IQ35" i="5"/>
  <c r="IR35" i="5"/>
  <c r="IS35" i="5"/>
  <c r="IT35" i="5"/>
  <c r="IU35" i="5"/>
  <c r="IV35" i="5"/>
  <c r="IW35" i="5"/>
  <c r="IX35" i="5"/>
  <c r="IY35" i="5"/>
  <c r="IZ35" i="5"/>
  <c r="JA35" i="5"/>
  <c r="JB35" i="5"/>
  <c r="JC35" i="5"/>
  <c r="JD35" i="5"/>
  <c r="JE35" i="5"/>
  <c r="JF35" i="5"/>
  <c r="JG35" i="5"/>
  <c r="JH35" i="5"/>
  <c r="JI35" i="5"/>
  <c r="JJ35" i="5"/>
  <c r="JK35" i="5"/>
  <c r="JL35" i="5"/>
  <c r="JM35" i="5"/>
  <c r="JN35" i="5"/>
  <c r="JO35" i="5"/>
  <c r="JP35" i="5"/>
  <c r="JQ35" i="5"/>
  <c r="JR35" i="5"/>
  <c r="JS35" i="5"/>
  <c r="JT35" i="5"/>
  <c r="JU35" i="5"/>
  <c r="JV35" i="5"/>
  <c r="JW35" i="5"/>
  <c r="JX35" i="5"/>
  <c r="JY35" i="5"/>
  <c r="JZ35" i="5"/>
  <c r="KA35" i="5"/>
  <c r="KB35" i="5"/>
  <c r="KC35" i="5"/>
  <c r="KD35" i="5"/>
  <c r="KE35" i="5"/>
  <c r="KF35" i="5"/>
  <c r="KG35" i="5"/>
  <c r="KH35" i="5"/>
  <c r="KI35" i="5"/>
  <c r="KJ35" i="5"/>
  <c r="KK35" i="5"/>
  <c r="KL35" i="5"/>
  <c r="KM35" i="5"/>
  <c r="KN35" i="5"/>
  <c r="KO35" i="5"/>
  <c r="KP35" i="5"/>
  <c r="KQ35" i="5"/>
  <c r="KR35" i="5"/>
  <c r="KS35" i="5"/>
  <c r="KT35" i="5"/>
  <c r="KU35" i="5"/>
  <c r="KV35" i="5"/>
  <c r="KW35" i="5"/>
  <c r="KX35" i="5"/>
  <c r="KY35" i="5"/>
  <c r="KZ35" i="5"/>
  <c r="LA35" i="5"/>
  <c r="LB35" i="5"/>
  <c r="LC35" i="5"/>
  <c r="LD35" i="5"/>
  <c r="LE35" i="5"/>
  <c r="LF35" i="5"/>
  <c r="LG35" i="5"/>
  <c r="LH35" i="5"/>
  <c r="LI35" i="5"/>
  <c r="LJ35" i="5"/>
  <c r="LK35" i="5"/>
  <c r="LL35" i="5"/>
  <c r="LM35" i="5"/>
  <c r="LN35" i="5"/>
  <c r="LO35" i="5"/>
  <c r="LP35" i="5"/>
  <c r="LQ35" i="5"/>
  <c r="LR35" i="5"/>
  <c r="LS35" i="5"/>
  <c r="LT35" i="5"/>
  <c r="LU35" i="5"/>
  <c r="LV35" i="5"/>
  <c r="LW35" i="5"/>
  <c r="LX35" i="5"/>
  <c r="LY35" i="5"/>
  <c r="LZ35" i="5"/>
  <c r="MA35" i="5"/>
  <c r="MB35" i="5"/>
  <c r="MC35" i="5"/>
  <c r="MD35" i="5"/>
  <c r="ME35" i="5"/>
  <c r="MF35" i="5"/>
  <c r="MG35" i="5"/>
  <c r="AU36" i="5"/>
  <c r="AV36" i="5"/>
  <c r="AW36" i="5"/>
  <c r="AX36" i="5"/>
  <c r="AY36" i="5"/>
  <c r="AZ36" i="5"/>
  <c r="BA36" i="5"/>
  <c r="BB36" i="5"/>
  <c r="BC36" i="5"/>
  <c r="BD36" i="5"/>
  <c r="BE36" i="5"/>
  <c r="BF36" i="5"/>
  <c r="BG36" i="5"/>
  <c r="BH36" i="5"/>
  <c r="BI36" i="5"/>
  <c r="BJ36" i="5"/>
  <c r="BK36" i="5"/>
  <c r="BL36" i="5"/>
  <c r="BM36" i="5"/>
  <c r="BN36" i="5"/>
  <c r="BO36" i="5"/>
  <c r="BP36" i="5"/>
  <c r="BQ36" i="5"/>
  <c r="BR36" i="5"/>
  <c r="BS36" i="5"/>
  <c r="BT36" i="5"/>
  <c r="BU36" i="5"/>
  <c r="BV36" i="5"/>
  <c r="BW36" i="5"/>
  <c r="BX36" i="5"/>
  <c r="BY36" i="5"/>
  <c r="BZ36" i="5"/>
  <c r="CA36" i="5"/>
  <c r="CB36" i="5"/>
  <c r="CC36" i="5"/>
  <c r="CD36" i="5"/>
  <c r="CE36" i="5"/>
  <c r="CF36" i="5"/>
  <c r="CG36" i="5"/>
  <c r="CH36" i="5"/>
  <c r="CI36" i="5"/>
  <c r="CJ36" i="5"/>
  <c r="CK36" i="5"/>
  <c r="CL36" i="5"/>
  <c r="CM36" i="5"/>
  <c r="CN36" i="5"/>
  <c r="CO36" i="5"/>
  <c r="CP36" i="5"/>
  <c r="CQ36" i="5"/>
  <c r="CR36" i="5"/>
  <c r="CS36" i="5"/>
  <c r="CT36" i="5"/>
  <c r="CU36" i="5"/>
  <c r="CV36" i="5"/>
  <c r="CW36" i="5"/>
  <c r="CX36" i="5"/>
  <c r="CY36" i="5"/>
  <c r="CZ36" i="5"/>
  <c r="DA36" i="5"/>
  <c r="DB36" i="5"/>
  <c r="DC36" i="5"/>
  <c r="DD36" i="5"/>
  <c r="DE36" i="5"/>
  <c r="DF36" i="5"/>
  <c r="DG36" i="5"/>
  <c r="DH36" i="5"/>
  <c r="DI36" i="5"/>
  <c r="DJ36" i="5"/>
  <c r="DK36" i="5"/>
  <c r="DL36" i="5"/>
  <c r="DM36" i="5"/>
  <c r="DN36" i="5"/>
  <c r="DO36" i="5"/>
  <c r="DP36" i="5"/>
  <c r="DQ36" i="5"/>
  <c r="DR36" i="5"/>
  <c r="DS36" i="5"/>
  <c r="DT36" i="5"/>
  <c r="DU36" i="5"/>
  <c r="DV36" i="5"/>
  <c r="DW36" i="5"/>
  <c r="DX36" i="5"/>
  <c r="DY36" i="5"/>
  <c r="DZ36" i="5"/>
  <c r="EA36" i="5"/>
  <c r="EB36" i="5"/>
  <c r="EC36" i="5"/>
  <c r="ED36" i="5"/>
  <c r="EE36" i="5"/>
  <c r="EF36" i="5"/>
  <c r="EG36" i="5"/>
  <c r="EH36" i="5"/>
  <c r="EI36" i="5"/>
  <c r="EJ36" i="5"/>
  <c r="EK36" i="5"/>
  <c r="EL36" i="5"/>
  <c r="EM36" i="5"/>
  <c r="EN36" i="5"/>
  <c r="EO36" i="5"/>
  <c r="EP36" i="5"/>
  <c r="EQ36" i="5"/>
  <c r="ER36" i="5"/>
  <c r="ES36" i="5"/>
  <c r="ET36" i="5"/>
  <c r="EU36" i="5"/>
  <c r="EV36" i="5"/>
  <c r="EW36" i="5"/>
  <c r="EX36" i="5"/>
  <c r="EY36" i="5"/>
  <c r="EZ36" i="5"/>
  <c r="FA36" i="5"/>
  <c r="FB36" i="5"/>
  <c r="FC36" i="5"/>
  <c r="FD36" i="5"/>
  <c r="FE36" i="5"/>
  <c r="FF36" i="5"/>
  <c r="FG36" i="5"/>
  <c r="FH36" i="5"/>
  <c r="FI36" i="5"/>
  <c r="FJ36" i="5"/>
  <c r="FK36" i="5"/>
  <c r="FL36" i="5"/>
  <c r="FM36" i="5"/>
  <c r="FN36" i="5"/>
  <c r="FO36" i="5"/>
  <c r="FP36" i="5"/>
  <c r="FQ36" i="5"/>
  <c r="FR36" i="5"/>
  <c r="FS36" i="5"/>
  <c r="FT36" i="5"/>
  <c r="FU36" i="5"/>
  <c r="FV36" i="5"/>
  <c r="FW36" i="5"/>
  <c r="FX36" i="5"/>
  <c r="FY36" i="5"/>
  <c r="FZ36" i="5"/>
  <c r="GA36" i="5"/>
  <c r="GB36" i="5"/>
  <c r="GC36" i="5"/>
  <c r="GD36" i="5"/>
  <c r="GE36" i="5"/>
  <c r="GF36" i="5"/>
  <c r="GG36" i="5"/>
  <c r="GH36" i="5"/>
  <c r="GI36" i="5"/>
  <c r="GJ36" i="5"/>
  <c r="GK36" i="5"/>
  <c r="GL36" i="5"/>
  <c r="GM36" i="5"/>
  <c r="GN36" i="5"/>
  <c r="GO36" i="5"/>
  <c r="GP36" i="5"/>
  <c r="GQ36" i="5"/>
  <c r="GR36" i="5"/>
  <c r="GS36" i="5"/>
  <c r="GT36" i="5"/>
  <c r="GU36" i="5"/>
  <c r="GV36" i="5"/>
  <c r="GW36" i="5"/>
  <c r="GX36" i="5"/>
  <c r="GY36" i="5"/>
  <c r="GZ36" i="5"/>
  <c r="HA36" i="5"/>
  <c r="HB36" i="5"/>
  <c r="HC36" i="5"/>
  <c r="HD36" i="5"/>
  <c r="HE36" i="5"/>
  <c r="HF36" i="5"/>
  <c r="HG36" i="5"/>
  <c r="HH36" i="5"/>
  <c r="HI36" i="5"/>
  <c r="HJ36" i="5"/>
  <c r="HK36" i="5"/>
  <c r="HL36" i="5"/>
  <c r="HM36" i="5"/>
  <c r="HN36" i="5"/>
  <c r="HO36" i="5"/>
  <c r="HP36" i="5"/>
  <c r="HQ36" i="5"/>
  <c r="HR36" i="5"/>
  <c r="HS36" i="5"/>
  <c r="HT36" i="5"/>
  <c r="HU36" i="5"/>
  <c r="HV36" i="5"/>
  <c r="HW36" i="5"/>
  <c r="HX36" i="5"/>
  <c r="HY36" i="5"/>
  <c r="HZ36" i="5"/>
  <c r="IA36" i="5"/>
  <c r="IB36" i="5"/>
  <c r="IC36" i="5"/>
  <c r="ID36" i="5"/>
  <c r="IE36" i="5"/>
  <c r="IF36" i="5"/>
  <c r="IG36" i="5"/>
  <c r="IH36" i="5"/>
  <c r="II36" i="5"/>
  <c r="IJ36" i="5"/>
  <c r="IK36" i="5"/>
  <c r="IL36" i="5"/>
  <c r="IM36" i="5"/>
  <c r="IN36" i="5"/>
  <c r="IO36" i="5"/>
  <c r="IP36" i="5"/>
  <c r="IQ36" i="5"/>
  <c r="IR36" i="5"/>
  <c r="IS36" i="5"/>
  <c r="IT36" i="5"/>
  <c r="IU36" i="5"/>
  <c r="IV36" i="5"/>
  <c r="IW36" i="5"/>
  <c r="IX36" i="5"/>
  <c r="IY36" i="5"/>
  <c r="IZ36" i="5"/>
  <c r="JA36" i="5"/>
  <c r="JB36" i="5"/>
  <c r="JC36" i="5"/>
  <c r="JD36" i="5"/>
  <c r="JE36" i="5"/>
  <c r="JF36" i="5"/>
  <c r="JG36" i="5"/>
  <c r="JH36" i="5"/>
  <c r="JI36" i="5"/>
  <c r="JJ36" i="5"/>
  <c r="JK36" i="5"/>
  <c r="JL36" i="5"/>
  <c r="JM36" i="5"/>
  <c r="JN36" i="5"/>
  <c r="JO36" i="5"/>
  <c r="JP36" i="5"/>
  <c r="JQ36" i="5"/>
  <c r="JR36" i="5"/>
  <c r="JS36" i="5"/>
  <c r="JT36" i="5"/>
  <c r="JU36" i="5"/>
  <c r="JV36" i="5"/>
  <c r="JW36" i="5"/>
  <c r="JX36" i="5"/>
  <c r="JY36" i="5"/>
  <c r="JZ36" i="5"/>
  <c r="KA36" i="5"/>
  <c r="KB36" i="5"/>
  <c r="KC36" i="5"/>
  <c r="KD36" i="5"/>
  <c r="KE36" i="5"/>
  <c r="KF36" i="5"/>
  <c r="KG36" i="5"/>
  <c r="KH36" i="5"/>
  <c r="KI36" i="5"/>
  <c r="KJ36" i="5"/>
  <c r="KK36" i="5"/>
  <c r="KL36" i="5"/>
  <c r="KM36" i="5"/>
  <c r="KN36" i="5"/>
  <c r="KO36" i="5"/>
  <c r="KP36" i="5"/>
  <c r="KQ36" i="5"/>
  <c r="KR36" i="5"/>
  <c r="KS36" i="5"/>
  <c r="KT36" i="5"/>
  <c r="KU36" i="5"/>
  <c r="KV36" i="5"/>
  <c r="KW36" i="5"/>
  <c r="KX36" i="5"/>
  <c r="KY36" i="5"/>
  <c r="KZ36" i="5"/>
  <c r="LA36" i="5"/>
  <c r="LB36" i="5"/>
  <c r="LC36" i="5"/>
  <c r="LD36" i="5"/>
  <c r="LE36" i="5"/>
  <c r="LF36" i="5"/>
  <c r="LG36" i="5"/>
  <c r="LH36" i="5"/>
  <c r="LI36" i="5"/>
  <c r="LJ36" i="5"/>
  <c r="LK36" i="5"/>
  <c r="LL36" i="5"/>
  <c r="LM36" i="5"/>
  <c r="LN36" i="5"/>
  <c r="LO36" i="5"/>
  <c r="LP36" i="5"/>
  <c r="LQ36" i="5"/>
  <c r="LR36" i="5"/>
  <c r="LS36" i="5"/>
  <c r="LT36" i="5"/>
  <c r="LU36" i="5"/>
  <c r="LV36" i="5"/>
  <c r="LW36" i="5"/>
  <c r="LX36" i="5"/>
  <c r="LY36" i="5"/>
  <c r="LZ36" i="5"/>
  <c r="MA36" i="5"/>
  <c r="MB36" i="5"/>
  <c r="MC36" i="5"/>
  <c r="MD36" i="5"/>
  <c r="ME36" i="5"/>
  <c r="MF36" i="5"/>
  <c r="MG36" i="5"/>
  <c r="AU37" i="5"/>
  <c r="AV37" i="5"/>
  <c r="AW37" i="5"/>
  <c r="AX37" i="5"/>
  <c r="AY37" i="5"/>
  <c r="AZ37" i="5"/>
  <c r="BA37" i="5"/>
  <c r="BB37" i="5"/>
  <c r="BC37" i="5"/>
  <c r="BD37" i="5"/>
  <c r="BE37" i="5"/>
  <c r="BF37" i="5"/>
  <c r="BG37" i="5"/>
  <c r="BH37" i="5"/>
  <c r="BI37" i="5"/>
  <c r="BJ37" i="5"/>
  <c r="BK37" i="5"/>
  <c r="BL37" i="5"/>
  <c r="BM37" i="5"/>
  <c r="BN37" i="5"/>
  <c r="BO37" i="5"/>
  <c r="BP37" i="5"/>
  <c r="BQ37" i="5"/>
  <c r="BR37" i="5"/>
  <c r="BS37" i="5"/>
  <c r="BT37" i="5"/>
  <c r="BU37" i="5"/>
  <c r="BV37" i="5"/>
  <c r="BW37" i="5"/>
  <c r="BX37" i="5"/>
  <c r="BY37" i="5"/>
  <c r="BZ37" i="5"/>
  <c r="CA37" i="5"/>
  <c r="CB37" i="5"/>
  <c r="CC37" i="5"/>
  <c r="CD37" i="5"/>
  <c r="CE37" i="5"/>
  <c r="CF37" i="5"/>
  <c r="CG37" i="5"/>
  <c r="CH37" i="5"/>
  <c r="CI37" i="5"/>
  <c r="CJ37" i="5"/>
  <c r="CK37" i="5"/>
  <c r="CL37" i="5"/>
  <c r="CM37" i="5"/>
  <c r="CN37" i="5"/>
  <c r="CO37" i="5"/>
  <c r="CP37" i="5"/>
  <c r="CQ37" i="5"/>
  <c r="CR37" i="5"/>
  <c r="CS37" i="5"/>
  <c r="CT37" i="5"/>
  <c r="CU37" i="5"/>
  <c r="CV37" i="5"/>
  <c r="CW37" i="5"/>
  <c r="CX37" i="5"/>
  <c r="CY37" i="5"/>
  <c r="CZ37" i="5"/>
  <c r="DA37" i="5"/>
  <c r="DB37" i="5"/>
  <c r="DC37" i="5"/>
  <c r="DD37" i="5"/>
  <c r="DE37" i="5"/>
  <c r="DF37" i="5"/>
  <c r="DG37" i="5"/>
  <c r="DH37" i="5"/>
  <c r="DI37" i="5"/>
  <c r="DJ37" i="5"/>
  <c r="DK37" i="5"/>
  <c r="DL37" i="5"/>
  <c r="DM37" i="5"/>
  <c r="DN37" i="5"/>
  <c r="DO37" i="5"/>
  <c r="DP37" i="5"/>
  <c r="DQ37" i="5"/>
  <c r="DR37" i="5"/>
  <c r="DS37" i="5"/>
  <c r="DT37" i="5"/>
  <c r="DU37" i="5"/>
  <c r="DV37" i="5"/>
  <c r="DW37" i="5"/>
  <c r="DX37" i="5"/>
  <c r="DY37" i="5"/>
  <c r="DZ37" i="5"/>
  <c r="EA37" i="5"/>
  <c r="EB37" i="5"/>
  <c r="EC37" i="5"/>
  <c r="ED37" i="5"/>
  <c r="EE37" i="5"/>
  <c r="EF37" i="5"/>
  <c r="EG37" i="5"/>
  <c r="EH37" i="5"/>
  <c r="EI37" i="5"/>
  <c r="EJ37" i="5"/>
  <c r="EK37" i="5"/>
  <c r="EL37" i="5"/>
  <c r="EM37" i="5"/>
  <c r="EN37" i="5"/>
  <c r="EO37" i="5"/>
  <c r="EP37" i="5"/>
  <c r="EQ37" i="5"/>
  <c r="ER37" i="5"/>
  <c r="ES37" i="5"/>
  <c r="ET37" i="5"/>
  <c r="EU37" i="5"/>
  <c r="EV37" i="5"/>
  <c r="EW37" i="5"/>
  <c r="EX37" i="5"/>
  <c r="EY37" i="5"/>
  <c r="EZ37" i="5"/>
  <c r="FA37" i="5"/>
  <c r="FB37" i="5"/>
  <c r="FC37" i="5"/>
  <c r="FD37" i="5"/>
  <c r="FE37" i="5"/>
  <c r="FF37" i="5"/>
  <c r="FG37" i="5"/>
  <c r="FH37" i="5"/>
  <c r="FI37" i="5"/>
  <c r="FJ37" i="5"/>
  <c r="FK37" i="5"/>
  <c r="FL37" i="5"/>
  <c r="FM37" i="5"/>
  <c r="FN37" i="5"/>
  <c r="FO37" i="5"/>
  <c r="FP37" i="5"/>
  <c r="FQ37" i="5"/>
  <c r="FR37" i="5"/>
  <c r="FS37" i="5"/>
  <c r="FT37" i="5"/>
  <c r="FU37" i="5"/>
  <c r="FV37" i="5"/>
  <c r="FW37" i="5"/>
  <c r="FX37" i="5"/>
  <c r="FY37" i="5"/>
  <c r="FZ37" i="5"/>
  <c r="GA37" i="5"/>
  <c r="GB37" i="5"/>
  <c r="GC37" i="5"/>
  <c r="GD37" i="5"/>
  <c r="GE37" i="5"/>
  <c r="GF37" i="5"/>
  <c r="GG37" i="5"/>
  <c r="GH37" i="5"/>
  <c r="GI37" i="5"/>
  <c r="GJ37" i="5"/>
  <c r="GK37" i="5"/>
  <c r="GL37" i="5"/>
  <c r="GM37" i="5"/>
  <c r="GN37" i="5"/>
  <c r="GO37" i="5"/>
  <c r="GP37" i="5"/>
  <c r="GQ37" i="5"/>
  <c r="GR37" i="5"/>
  <c r="GS37" i="5"/>
  <c r="GT37" i="5"/>
  <c r="GU37" i="5"/>
  <c r="GV37" i="5"/>
  <c r="GW37" i="5"/>
  <c r="GX37" i="5"/>
  <c r="GY37" i="5"/>
  <c r="GZ37" i="5"/>
  <c r="HA37" i="5"/>
  <c r="HB37" i="5"/>
  <c r="HC37" i="5"/>
  <c r="HD37" i="5"/>
  <c r="HE37" i="5"/>
  <c r="HF37" i="5"/>
  <c r="HG37" i="5"/>
  <c r="HH37" i="5"/>
  <c r="HI37" i="5"/>
  <c r="HJ37" i="5"/>
  <c r="HK37" i="5"/>
  <c r="HL37" i="5"/>
  <c r="HM37" i="5"/>
  <c r="HN37" i="5"/>
  <c r="HO37" i="5"/>
  <c r="HP37" i="5"/>
  <c r="HQ37" i="5"/>
  <c r="HR37" i="5"/>
  <c r="HS37" i="5"/>
  <c r="HT37" i="5"/>
  <c r="HU37" i="5"/>
  <c r="HV37" i="5"/>
  <c r="HW37" i="5"/>
  <c r="HX37" i="5"/>
  <c r="HY37" i="5"/>
  <c r="HZ37" i="5"/>
  <c r="IA37" i="5"/>
  <c r="IB37" i="5"/>
  <c r="IC37" i="5"/>
  <c r="ID37" i="5"/>
  <c r="IE37" i="5"/>
  <c r="IF37" i="5"/>
  <c r="IG37" i="5"/>
  <c r="IH37" i="5"/>
  <c r="II37" i="5"/>
  <c r="IJ37" i="5"/>
  <c r="IK37" i="5"/>
  <c r="IL37" i="5"/>
  <c r="IM37" i="5"/>
  <c r="IN37" i="5"/>
  <c r="IO37" i="5"/>
  <c r="IP37" i="5"/>
  <c r="IQ37" i="5"/>
  <c r="IR37" i="5"/>
  <c r="IS37" i="5"/>
  <c r="IT37" i="5"/>
  <c r="IU37" i="5"/>
  <c r="IV37" i="5"/>
  <c r="IW37" i="5"/>
  <c r="IX37" i="5"/>
  <c r="IY37" i="5"/>
  <c r="IZ37" i="5"/>
  <c r="JA37" i="5"/>
  <c r="JB37" i="5"/>
  <c r="JC37" i="5"/>
  <c r="JD37" i="5"/>
  <c r="JE37" i="5"/>
  <c r="JF37" i="5"/>
  <c r="JG37" i="5"/>
  <c r="JH37" i="5"/>
  <c r="JI37" i="5"/>
  <c r="JJ37" i="5"/>
  <c r="JK37" i="5"/>
  <c r="JL37" i="5"/>
  <c r="JM37" i="5"/>
  <c r="JN37" i="5"/>
  <c r="JO37" i="5"/>
  <c r="JP37" i="5"/>
  <c r="JQ37" i="5"/>
  <c r="JR37" i="5"/>
  <c r="JS37" i="5"/>
  <c r="JT37" i="5"/>
  <c r="JU37" i="5"/>
  <c r="JV37" i="5"/>
  <c r="JW37" i="5"/>
  <c r="JX37" i="5"/>
  <c r="JY37" i="5"/>
  <c r="JZ37" i="5"/>
  <c r="KA37" i="5"/>
  <c r="KB37" i="5"/>
  <c r="KC37" i="5"/>
  <c r="KD37" i="5"/>
  <c r="KE37" i="5"/>
  <c r="KF37" i="5"/>
  <c r="KG37" i="5"/>
  <c r="KH37" i="5"/>
  <c r="KI37" i="5"/>
  <c r="KJ37" i="5"/>
  <c r="KK37" i="5"/>
  <c r="KL37" i="5"/>
  <c r="KM37" i="5"/>
  <c r="KN37" i="5"/>
  <c r="KO37" i="5"/>
  <c r="KP37" i="5"/>
  <c r="KQ37" i="5"/>
  <c r="KR37" i="5"/>
  <c r="KS37" i="5"/>
  <c r="KT37" i="5"/>
  <c r="KU37" i="5"/>
  <c r="KV37" i="5"/>
  <c r="KW37" i="5"/>
  <c r="KX37" i="5"/>
  <c r="KY37" i="5"/>
  <c r="KZ37" i="5"/>
  <c r="LA37" i="5"/>
  <c r="LB37" i="5"/>
  <c r="LC37" i="5"/>
  <c r="LD37" i="5"/>
  <c r="LE37" i="5"/>
  <c r="LF37" i="5"/>
  <c r="LG37" i="5"/>
  <c r="LH37" i="5"/>
  <c r="LI37" i="5"/>
  <c r="LJ37" i="5"/>
  <c r="LK37" i="5"/>
  <c r="LL37" i="5"/>
  <c r="LM37" i="5"/>
  <c r="LN37" i="5"/>
  <c r="LO37" i="5"/>
  <c r="LP37" i="5"/>
  <c r="LQ37" i="5"/>
  <c r="LR37" i="5"/>
  <c r="LS37" i="5"/>
  <c r="LT37" i="5"/>
  <c r="LU37" i="5"/>
  <c r="LV37" i="5"/>
  <c r="LW37" i="5"/>
  <c r="LX37" i="5"/>
  <c r="LY37" i="5"/>
  <c r="LZ37" i="5"/>
  <c r="MA37" i="5"/>
  <c r="MB37" i="5"/>
  <c r="MC37" i="5"/>
  <c r="MD37" i="5"/>
  <c r="ME37" i="5"/>
  <c r="MF37" i="5"/>
  <c r="MG37" i="5"/>
  <c r="AU38" i="5"/>
  <c r="AV38" i="5"/>
  <c r="AW38" i="5"/>
  <c r="AX38" i="5"/>
  <c r="AY38" i="5"/>
  <c r="AZ38" i="5"/>
  <c r="BA38" i="5"/>
  <c r="BB38" i="5"/>
  <c r="BC38" i="5"/>
  <c r="BD38" i="5"/>
  <c r="BE38" i="5"/>
  <c r="BF38" i="5"/>
  <c r="BG38" i="5"/>
  <c r="BH38" i="5"/>
  <c r="BI38" i="5"/>
  <c r="BJ38" i="5"/>
  <c r="BK38" i="5"/>
  <c r="BL38" i="5"/>
  <c r="BM38" i="5"/>
  <c r="BN38" i="5"/>
  <c r="BO38" i="5"/>
  <c r="BP38" i="5"/>
  <c r="BQ38" i="5"/>
  <c r="BR38" i="5"/>
  <c r="BS38" i="5"/>
  <c r="BT38" i="5"/>
  <c r="BU38" i="5"/>
  <c r="BV38" i="5"/>
  <c r="BW38" i="5"/>
  <c r="BX38" i="5"/>
  <c r="BY38" i="5"/>
  <c r="BZ38" i="5"/>
  <c r="CA38" i="5"/>
  <c r="CB38" i="5"/>
  <c r="CC38" i="5"/>
  <c r="CD38" i="5"/>
  <c r="CE38" i="5"/>
  <c r="CF38" i="5"/>
  <c r="CG38" i="5"/>
  <c r="CH38" i="5"/>
  <c r="CI38" i="5"/>
  <c r="CJ38" i="5"/>
  <c r="CK38" i="5"/>
  <c r="CL38" i="5"/>
  <c r="CM38" i="5"/>
  <c r="CN38" i="5"/>
  <c r="CO38" i="5"/>
  <c r="CP38" i="5"/>
  <c r="CQ38" i="5"/>
  <c r="CR38" i="5"/>
  <c r="CS38" i="5"/>
  <c r="CT38" i="5"/>
  <c r="CU38" i="5"/>
  <c r="CV38" i="5"/>
  <c r="CW38" i="5"/>
  <c r="CX38" i="5"/>
  <c r="CY38" i="5"/>
  <c r="CZ38" i="5"/>
  <c r="DA38" i="5"/>
  <c r="DB38" i="5"/>
  <c r="DC38" i="5"/>
  <c r="DD38" i="5"/>
  <c r="DE38" i="5"/>
  <c r="DF38" i="5"/>
  <c r="DG38" i="5"/>
  <c r="DH38" i="5"/>
  <c r="DI38" i="5"/>
  <c r="DJ38" i="5"/>
  <c r="DK38" i="5"/>
  <c r="DL38" i="5"/>
  <c r="DM38" i="5"/>
  <c r="DN38" i="5"/>
  <c r="DO38" i="5"/>
  <c r="DP38" i="5"/>
  <c r="DQ38" i="5"/>
  <c r="DR38" i="5"/>
  <c r="DS38" i="5"/>
  <c r="DT38" i="5"/>
  <c r="DU38" i="5"/>
  <c r="DV38" i="5"/>
  <c r="DW38" i="5"/>
  <c r="DX38" i="5"/>
  <c r="DY38" i="5"/>
  <c r="DZ38" i="5"/>
  <c r="EA38" i="5"/>
  <c r="EB38" i="5"/>
  <c r="EC38" i="5"/>
  <c r="ED38" i="5"/>
  <c r="EE38" i="5"/>
  <c r="EF38" i="5"/>
  <c r="EG38" i="5"/>
  <c r="EH38" i="5"/>
  <c r="EI38" i="5"/>
  <c r="EJ38" i="5"/>
  <c r="EK38" i="5"/>
  <c r="EL38" i="5"/>
  <c r="EM38" i="5"/>
  <c r="EN38" i="5"/>
  <c r="EO38" i="5"/>
  <c r="EP38" i="5"/>
  <c r="EQ38" i="5"/>
  <c r="ER38" i="5"/>
  <c r="ES38" i="5"/>
  <c r="ET38" i="5"/>
  <c r="EU38" i="5"/>
  <c r="EV38" i="5"/>
  <c r="EW38" i="5"/>
  <c r="EX38" i="5"/>
  <c r="EY38" i="5"/>
  <c r="EZ38" i="5"/>
  <c r="FA38" i="5"/>
  <c r="FB38" i="5"/>
  <c r="FC38" i="5"/>
  <c r="FD38" i="5"/>
  <c r="FE38" i="5"/>
  <c r="FF38" i="5"/>
  <c r="FG38" i="5"/>
  <c r="FH38" i="5"/>
  <c r="FI38" i="5"/>
  <c r="FJ38" i="5"/>
  <c r="FK38" i="5"/>
  <c r="FL38" i="5"/>
  <c r="FM38" i="5"/>
  <c r="FN38" i="5"/>
  <c r="FO38" i="5"/>
  <c r="FP38" i="5"/>
  <c r="FQ38" i="5"/>
  <c r="FR38" i="5"/>
  <c r="FS38" i="5"/>
  <c r="FT38" i="5"/>
  <c r="FU38" i="5"/>
  <c r="FV38" i="5"/>
  <c r="FW38" i="5"/>
  <c r="FX38" i="5"/>
  <c r="FY38" i="5"/>
  <c r="FZ38" i="5"/>
  <c r="GA38" i="5"/>
  <c r="GB38" i="5"/>
  <c r="GC38" i="5"/>
  <c r="GD38" i="5"/>
  <c r="GE38" i="5"/>
  <c r="GF38" i="5"/>
  <c r="GG38" i="5"/>
  <c r="GH38" i="5"/>
  <c r="GI38" i="5"/>
  <c r="GJ38" i="5"/>
  <c r="GK38" i="5"/>
  <c r="GL38" i="5"/>
  <c r="GM38" i="5"/>
  <c r="GN38" i="5"/>
  <c r="GO38" i="5"/>
  <c r="GP38" i="5"/>
  <c r="GQ38" i="5"/>
  <c r="GR38" i="5"/>
  <c r="GS38" i="5"/>
  <c r="GT38" i="5"/>
  <c r="GU38" i="5"/>
  <c r="GV38" i="5"/>
  <c r="GW38" i="5"/>
  <c r="GX38" i="5"/>
  <c r="GY38" i="5"/>
  <c r="GZ38" i="5"/>
  <c r="HA38" i="5"/>
  <c r="HB38" i="5"/>
  <c r="HC38" i="5"/>
  <c r="HD38" i="5"/>
  <c r="HE38" i="5"/>
  <c r="HF38" i="5"/>
  <c r="HG38" i="5"/>
  <c r="HH38" i="5"/>
  <c r="HI38" i="5"/>
  <c r="HJ38" i="5"/>
  <c r="HK38" i="5"/>
  <c r="HL38" i="5"/>
  <c r="HM38" i="5"/>
  <c r="HN38" i="5"/>
  <c r="HO38" i="5"/>
  <c r="HP38" i="5"/>
  <c r="HQ38" i="5"/>
  <c r="HR38" i="5"/>
  <c r="HS38" i="5"/>
  <c r="HT38" i="5"/>
  <c r="HU38" i="5"/>
  <c r="HV38" i="5"/>
  <c r="HW38" i="5"/>
  <c r="HX38" i="5"/>
  <c r="HY38" i="5"/>
  <c r="HZ38" i="5"/>
  <c r="IA38" i="5"/>
  <c r="IB38" i="5"/>
  <c r="IC38" i="5"/>
  <c r="ID38" i="5"/>
  <c r="IE38" i="5"/>
  <c r="IF38" i="5"/>
  <c r="IG38" i="5"/>
  <c r="IH38" i="5"/>
  <c r="II38" i="5"/>
  <c r="IJ38" i="5"/>
  <c r="IK38" i="5"/>
  <c r="IL38" i="5"/>
  <c r="IM38" i="5"/>
  <c r="IN38" i="5"/>
  <c r="IO38" i="5"/>
  <c r="IP38" i="5"/>
  <c r="IQ38" i="5"/>
  <c r="IR38" i="5"/>
  <c r="IS38" i="5"/>
  <c r="IT38" i="5"/>
  <c r="IU38" i="5"/>
  <c r="IV38" i="5"/>
  <c r="IW38" i="5"/>
  <c r="IX38" i="5"/>
  <c r="IY38" i="5"/>
  <c r="IZ38" i="5"/>
  <c r="JA38" i="5"/>
  <c r="JB38" i="5"/>
  <c r="JC38" i="5"/>
  <c r="JD38" i="5"/>
  <c r="JE38" i="5"/>
  <c r="JF38" i="5"/>
  <c r="JG38" i="5"/>
  <c r="JH38" i="5"/>
  <c r="JI38" i="5"/>
  <c r="JJ38" i="5"/>
  <c r="JK38" i="5"/>
  <c r="JL38" i="5"/>
  <c r="JM38" i="5"/>
  <c r="JN38" i="5"/>
  <c r="JO38" i="5"/>
  <c r="JP38" i="5"/>
  <c r="JQ38" i="5"/>
  <c r="JR38" i="5"/>
  <c r="JS38" i="5"/>
  <c r="JT38" i="5"/>
  <c r="JU38" i="5"/>
  <c r="JV38" i="5"/>
  <c r="JW38" i="5"/>
  <c r="JX38" i="5"/>
  <c r="JY38" i="5"/>
  <c r="JZ38" i="5"/>
  <c r="KA38" i="5"/>
  <c r="KB38" i="5"/>
  <c r="KC38" i="5"/>
  <c r="KD38" i="5"/>
  <c r="KE38" i="5"/>
  <c r="KF38" i="5"/>
  <c r="KG38" i="5"/>
  <c r="KH38" i="5"/>
  <c r="KI38" i="5"/>
  <c r="KJ38" i="5"/>
  <c r="KK38" i="5"/>
  <c r="KL38" i="5"/>
  <c r="KM38" i="5"/>
  <c r="KN38" i="5"/>
  <c r="KO38" i="5"/>
  <c r="KP38" i="5"/>
  <c r="KQ38" i="5"/>
  <c r="KR38" i="5"/>
  <c r="KS38" i="5"/>
  <c r="KT38" i="5"/>
  <c r="KU38" i="5"/>
  <c r="KV38" i="5"/>
  <c r="KW38" i="5"/>
  <c r="KX38" i="5"/>
  <c r="KY38" i="5"/>
  <c r="KZ38" i="5"/>
  <c r="LA38" i="5"/>
  <c r="LB38" i="5"/>
  <c r="LC38" i="5"/>
  <c r="LD38" i="5"/>
  <c r="LE38" i="5"/>
  <c r="LF38" i="5"/>
  <c r="LG38" i="5"/>
  <c r="LH38" i="5"/>
  <c r="LI38" i="5"/>
  <c r="LJ38" i="5"/>
  <c r="LK38" i="5"/>
  <c r="LL38" i="5"/>
  <c r="LM38" i="5"/>
  <c r="LN38" i="5"/>
  <c r="LO38" i="5"/>
  <c r="LP38" i="5"/>
  <c r="LQ38" i="5"/>
  <c r="LR38" i="5"/>
  <c r="LS38" i="5"/>
  <c r="LT38" i="5"/>
  <c r="LU38" i="5"/>
  <c r="LV38" i="5"/>
  <c r="LW38" i="5"/>
  <c r="LX38" i="5"/>
  <c r="LY38" i="5"/>
  <c r="LZ38" i="5"/>
  <c r="MA38" i="5"/>
  <c r="MB38" i="5"/>
  <c r="MC38" i="5"/>
  <c r="MD38" i="5"/>
  <c r="ME38" i="5"/>
  <c r="MF38" i="5"/>
  <c r="MG38" i="5"/>
  <c r="AU39" i="5"/>
  <c r="AV39" i="5"/>
  <c r="AW39" i="5"/>
  <c r="AX39" i="5"/>
  <c r="AY39" i="5"/>
  <c r="AZ39" i="5"/>
  <c r="BA39" i="5"/>
  <c r="BB39" i="5"/>
  <c r="BC39" i="5"/>
  <c r="BD39" i="5"/>
  <c r="BE39" i="5"/>
  <c r="BF39" i="5"/>
  <c r="BG39" i="5"/>
  <c r="BH39" i="5"/>
  <c r="BI39" i="5"/>
  <c r="BJ39" i="5"/>
  <c r="BK39" i="5"/>
  <c r="BL39" i="5"/>
  <c r="BM39" i="5"/>
  <c r="BN39" i="5"/>
  <c r="BO39" i="5"/>
  <c r="BP39" i="5"/>
  <c r="BQ39" i="5"/>
  <c r="BR39" i="5"/>
  <c r="BS39" i="5"/>
  <c r="BT39" i="5"/>
  <c r="BU39" i="5"/>
  <c r="BV39" i="5"/>
  <c r="BW39" i="5"/>
  <c r="BX39" i="5"/>
  <c r="BY39" i="5"/>
  <c r="BZ39" i="5"/>
  <c r="CA39" i="5"/>
  <c r="CB39" i="5"/>
  <c r="CC39" i="5"/>
  <c r="CD39" i="5"/>
  <c r="CE39" i="5"/>
  <c r="CF39" i="5"/>
  <c r="CG39" i="5"/>
  <c r="CH39" i="5"/>
  <c r="CI39" i="5"/>
  <c r="CJ39" i="5"/>
  <c r="CK39" i="5"/>
  <c r="CL39" i="5"/>
  <c r="CM39" i="5"/>
  <c r="CN39" i="5"/>
  <c r="CO39" i="5"/>
  <c r="CP39" i="5"/>
  <c r="CQ39" i="5"/>
  <c r="CR39" i="5"/>
  <c r="CS39" i="5"/>
  <c r="CT39" i="5"/>
  <c r="CU39" i="5"/>
  <c r="CV39" i="5"/>
  <c r="CW39" i="5"/>
  <c r="CX39" i="5"/>
  <c r="CY39" i="5"/>
  <c r="CZ39" i="5"/>
  <c r="DA39" i="5"/>
  <c r="DB39" i="5"/>
  <c r="DC39" i="5"/>
  <c r="DD39" i="5"/>
  <c r="DE39" i="5"/>
  <c r="DF39" i="5"/>
  <c r="DG39" i="5"/>
  <c r="DH39" i="5"/>
  <c r="DI39" i="5"/>
  <c r="DJ39" i="5"/>
  <c r="DK39" i="5"/>
  <c r="DL39" i="5"/>
  <c r="DM39" i="5"/>
  <c r="DN39" i="5"/>
  <c r="DO39" i="5"/>
  <c r="DP39" i="5"/>
  <c r="DQ39" i="5"/>
  <c r="DR39" i="5"/>
  <c r="DS39" i="5"/>
  <c r="DT39" i="5"/>
  <c r="DU39" i="5"/>
  <c r="DV39" i="5"/>
  <c r="DW39" i="5"/>
  <c r="DX39" i="5"/>
  <c r="DY39" i="5"/>
  <c r="DZ39" i="5"/>
  <c r="EA39" i="5"/>
  <c r="EB39" i="5"/>
  <c r="EC39" i="5"/>
  <c r="ED39" i="5"/>
  <c r="EE39" i="5"/>
  <c r="EF39" i="5"/>
  <c r="EG39" i="5"/>
  <c r="EH39" i="5"/>
  <c r="EI39" i="5"/>
  <c r="EJ39" i="5"/>
  <c r="EK39" i="5"/>
  <c r="EL39" i="5"/>
  <c r="EM39" i="5"/>
  <c r="EN39" i="5"/>
  <c r="EO39" i="5"/>
  <c r="EP39" i="5"/>
  <c r="EQ39" i="5"/>
  <c r="ER39" i="5"/>
  <c r="ES39" i="5"/>
  <c r="ET39" i="5"/>
  <c r="EU39" i="5"/>
  <c r="EV39" i="5"/>
  <c r="EW39" i="5"/>
  <c r="EX39" i="5"/>
  <c r="EY39" i="5"/>
  <c r="EZ39" i="5"/>
  <c r="FA39" i="5"/>
  <c r="FB39" i="5"/>
  <c r="FC39" i="5"/>
  <c r="FD39" i="5"/>
  <c r="FE39" i="5"/>
  <c r="FF39" i="5"/>
  <c r="FG39" i="5"/>
  <c r="FH39" i="5"/>
  <c r="FI39" i="5"/>
  <c r="FJ39" i="5"/>
  <c r="FK39" i="5"/>
  <c r="FL39" i="5"/>
  <c r="FM39" i="5"/>
  <c r="FN39" i="5"/>
  <c r="FO39" i="5"/>
  <c r="FP39" i="5"/>
  <c r="FQ39" i="5"/>
  <c r="FR39" i="5"/>
  <c r="FS39" i="5"/>
  <c r="FT39" i="5"/>
  <c r="FU39" i="5"/>
  <c r="FV39" i="5"/>
  <c r="FW39" i="5"/>
  <c r="FX39" i="5"/>
  <c r="FY39" i="5"/>
  <c r="FZ39" i="5"/>
  <c r="GA39" i="5"/>
  <c r="GB39" i="5"/>
  <c r="GC39" i="5"/>
  <c r="GD39" i="5"/>
  <c r="GE39" i="5"/>
  <c r="GF39" i="5"/>
  <c r="GG39" i="5"/>
  <c r="GH39" i="5"/>
  <c r="GI39" i="5"/>
  <c r="GJ39" i="5"/>
  <c r="GK39" i="5"/>
  <c r="GL39" i="5"/>
  <c r="GM39" i="5"/>
  <c r="GN39" i="5"/>
  <c r="GO39" i="5"/>
  <c r="GP39" i="5"/>
  <c r="GQ39" i="5"/>
  <c r="GR39" i="5"/>
  <c r="GS39" i="5"/>
  <c r="GT39" i="5"/>
  <c r="GU39" i="5"/>
  <c r="GV39" i="5"/>
  <c r="GW39" i="5"/>
  <c r="GX39" i="5"/>
  <c r="GY39" i="5"/>
  <c r="GZ39" i="5"/>
  <c r="HA39" i="5"/>
  <c r="HB39" i="5"/>
  <c r="HC39" i="5"/>
  <c r="HD39" i="5"/>
  <c r="HE39" i="5"/>
  <c r="HF39" i="5"/>
  <c r="HG39" i="5"/>
  <c r="HH39" i="5"/>
  <c r="HI39" i="5"/>
  <c r="HJ39" i="5"/>
  <c r="HK39" i="5"/>
  <c r="HL39" i="5"/>
  <c r="HM39" i="5"/>
  <c r="HN39" i="5"/>
  <c r="HO39" i="5"/>
  <c r="HP39" i="5"/>
  <c r="HQ39" i="5"/>
  <c r="HR39" i="5"/>
  <c r="HS39" i="5"/>
  <c r="HT39" i="5"/>
  <c r="HU39" i="5"/>
  <c r="HV39" i="5"/>
  <c r="HW39" i="5"/>
  <c r="HX39" i="5"/>
  <c r="HY39" i="5"/>
  <c r="HZ39" i="5"/>
  <c r="IA39" i="5"/>
  <c r="IB39" i="5"/>
  <c r="IC39" i="5"/>
  <c r="ID39" i="5"/>
  <c r="IE39" i="5"/>
  <c r="IF39" i="5"/>
  <c r="IG39" i="5"/>
  <c r="IH39" i="5"/>
  <c r="II39" i="5"/>
  <c r="IJ39" i="5"/>
  <c r="IK39" i="5"/>
  <c r="IL39" i="5"/>
  <c r="IM39" i="5"/>
  <c r="IN39" i="5"/>
  <c r="IO39" i="5"/>
  <c r="IP39" i="5"/>
  <c r="IQ39" i="5"/>
  <c r="IR39" i="5"/>
  <c r="IS39" i="5"/>
  <c r="IT39" i="5"/>
  <c r="IU39" i="5"/>
  <c r="IV39" i="5"/>
  <c r="IW39" i="5"/>
  <c r="IX39" i="5"/>
  <c r="IY39" i="5"/>
  <c r="IZ39" i="5"/>
  <c r="JA39" i="5"/>
  <c r="JB39" i="5"/>
  <c r="JC39" i="5"/>
  <c r="JD39" i="5"/>
  <c r="JE39" i="5"/>
  <c r="JF39" i="5"/>
  <c r="JG39" i="5"/>
  <c r="JH39" i="5"/>
  <c r="JI39" i="5"/>
  <c r="JJ39" i="5"/>
  <c r="JK39" i="5"/>
  <c r="JL39" i="5"/>
  <c r="JM39" i="5"/>
  <c r="JN39" i="5"/>
  <c r="JO39" i="5"/>
  <c r="JP39" i="5"/>
  <c r="JQ39" i="5"/>
  <c r="JR39" i="5"/>
  <c r="JS39" i="5"/>
  <c r="JT39" i="5"/>
  <c r="JU39" i="5"/>
  <c r="JV39" i="5"/>
  <c r="JW39" i="5"/>
  <c r="JX39" i="5"/>
  <c r="JY39" i="5"/>
  <c r="JZ39" i="5"/>
  <c r="KA39" i="5"/>
  <c r="KB39" i="5"/>
  <c r="KC39" i="5"/>
  <c r="KD39" i="5"/>
  <c r="KE39" i="5"/>
  <c r="KF39" i="5"/>
  <c r="KG39" i="5"/>
  <c r="KH39" i="5"/>
  <c r="KI39" i="5"/>
  <c r="KJ39" i="5"/>
  <c r="KK39" i="5"/>
  <c r="KL39" i="5"/>
  <c r="KM39" i="5"/>
  <c r="KN39" i="5"/>
  <c r="KO39" i="5"/>
  <c r="KP39" i="5"/>
  <c r="KQ39" i="5"/>
  <c r="KR39" i="5"/>
  <c r="KS39" i="5"/>
  <c r="KT39" i="5"/>
  <c r="KU39" i="5"/>
  <c r="KV39" i="5"/>
  <c r="KW39" i="5"/>
  <c r="KX39" i="5"/>
  <c r="KY39" i="5"/>
  <c r="KZ39" i="5"/>
  <c r="LA39" i="5"/>
  <c r="LB39" i="5"/>
  <c r="LC39" i="5"/>
  <c r="LD39" i="5"/>
  <c r="LE39" i="5"/>
  <c r="LF39" i="5"/>
  <c r="LG39" i="5"/>
  <c r="LH39" i="5"/>
  <c r="LI39" i="5"/>
  <c r="LJ39" i="5"/>
  <c r="LK39" i="5"/>
  <c r="LL39" i="5"/>
  <c r="LM39" i="5"/>
  <c r="LN39" i="5"/>
  <c r="LO39" i="5"/>
  <c r="LP39" i="5"/>
  <c r="LQ39" i="5"/>
  <c r="LR39" i="5"/>
  <c r="LS39" i="5"/>
  <c r="LT39" i="5"/>
  <c r="LU39" i="5"/>
  <c r="LV39" i="5"/>
  <c r="LW39" i="5"/>
  <c r="LX39" i="5"/>
  <c r="LY39" i="5"/>
  <c r="LZ39" i="5"/>
  <c r="MA39" i="5"/>
  <c r="MB39" i="5"/>
  <c r="MC39" i="5"/>
  <c r="MD39" i="5"/>
  <c r="ME39" i="5"/>
  <c r="MF39" i="5"/>
  <c r="MG39" i="5"/>
  <c r="AU40" i="5"/>
  <c r="AV40" i="5"/>
  <c r="AW40" i="5"/>
  <c r="AX40" i="5"/>
  <c r="AY40" i="5"/>
  <c r="AZ40" i="5"/>
  <c r="BA40" i="5"/>
  <c r="BB40" i="5"/>
  <c r="BC40" i="5"/>
  <c r="BD40" i="5"/>
  <c r="BE40" i="5"/>
  <c r="BF40" i="5"/>
  <c r="BG40" i="5"/>
  <c r="BH40" i="5"/>
  <c r="BI40" i="5"/>
  <c r="BJ40" i="5"/>
  <c r="BK40" i="5"/>
  <c r="BL40" i="5"/>
  <c r="BM40" i="5"/>
  <c r="BN40" i="5"/>
  <c r="BO40" i="5"/>
  <c r="BP40" i="5"/>
  <c r="BQ40" i="5"/>
  <c r="BR40" i="5"/>
  <c r="BS40" i="5"/>
  <c r="BT40" i="5"/>
  <c r="BU40" i="5"/>
  <c r="BV40" i="5"/>
  <c r="BW40" i="5"/>
  <c r="BX40" i="5"/>
  <c r="BY40" i="5"/>
  <c r="BZ40" i="5"/>
  <c r="CA40" i="5"/>
  <c r="CB40" i="5"/>
  <c r="CC40" i="5"/>
  <c r="CD40" i="5"/>
  <c r="CE40" i="5"/>
  <c r="CF40" i="5"/>
  <c r="CG40" i="5"/>
  <c r="CH40" i="5"/>
  <c r="CI40" i="5"/>
  <c r="CJ40" i="5"/>
  <c r="CK40" i="5"/>
  <c r="CL40" i="5"/>
  <c r="CM40" i="5"/>
  <c r="CN40" i="5"/>
  <c r="CO40" i="5"/>
  <c r="CP40" i="5"/>
  <c r="CQ40" i="5"/>
  <c r="CR40" i="5"/>
  <c r="CS40" i="5"/>
  <c r="CT40" i="5"/>
  <c r="CU40" i="5"/>
  <c r="CV40" i="5"/>
  <c r="CW40" i="5"/>
  <c r="CX40" i="5"/>
  <c r="CY40" i="5"/>
  <c r="CZ40" i="5"/>
  <c r="DA40" i="5"/>
  <c r="DB40" i="5"/>
  <c r="DC40" i="5"/>
  <c r="DD40" i="5"/>
  <c r="DE40" i="5"/>
  <c r="DF40" i="5"/>
  <c r="DG40" i="5"/>
  <c r="DH40" i="5"/>
  <c r="DI40" i="5"/>
  <c r="DJ40" i="5"/>
  <c r="DK40" i="5"/>
  <c r="DL40" i="5"/>
  <c r="DM40" i="5"/>
  <c r="DN40" i="5"/>
  <c r="DO40" i="5"/>
  <c r="DP40" i="5"/>
  <c r="DQ40" i="5"/>
  <c r="DR40" i="5"/>
  <c r="DS40" i="5"/>
  <c r="DT40" i="5"/>
  <c r="DU40" i="5"/>
  <c r="DV40" i="5"/>
  <c r="DW40" i="5"/>
  <c r="DX40" i="5"/>
  <c r="DY40" i="5"/>
  <c r="DZ40" i="5"/>
  <c r="EA40" i="5"/>
  <c r="EB40" i="5"/>
  <c r="EC40" i="5"/>
  <c r="ED40" i="5"/>
  <c r="EE40" i="5"/>
  <c r="EF40" i="5"/>
  <c r="EG40" i="5"/>
  <c r="EH40" i="5"/>
  <c r="EI40" i="5"/>
  <c r="EJ40" i="5"/>
  <c r="EK40" i="5"/>
  <c r="EL40" i="5"/>
  <c r="EM40" i="5"/>
  <c r="EN40" i="5"/>
  <c r="EO40" i="5"/>
  <c r="EP40" i="5"/>
  <c r="EQ40" i="5"/>
  <c r="ER40" i="5"/>
  <c r="ES40" i="5"/>
  <c r="ET40" i="5"/>
  <c r="EU40" i="5"/>
  <c r="EV40" i="5"/>
  <c r="EW40" i="5"/>
  <c r="EX40" i="5"/>
  <c r="EY40" i="5"/>
  <c r="EZ40" i="5"/>
  <c r="FA40" i="5"/>
  <c r="FB40" i="5"/>
  <c r="FC40" i="5"/>
  <c r="FD40" i="5"/>
  <c r="FE40" i="5"/>
  <c r="FF40" i="5"/>
  <c r="FG40" i="5"/>
  <c r="FH40" i="5"/>
  <c r="FI40" i="5"/>
  <c r="FJ40" i="5"/>
  <c r="FK40" i="5"/>
  <c r="FL40" i="5"/>
  <c r="FM40" i="5"/>
  <c r="FN40" i="5"/>
  <c r="FO40" i="5"/>
  <c r="FP40" i="5"/>
  <c r="FQ40" i="5"/>
  <c r="FR40" i="5"/>
  <c r="FS40" i="5"/>
  <c r="FT40" i="5"/>
  <c r="FU40" i="5"/>
  <c r="FV40" i="5"/>
  <c r="FW40" i="5"/>
  <c r="FX40" i="5"/>
  <c r="FY40" i="5"/>
  <c r="FZ40" i="5"/>
  <c r="GA40" i="5"/>
  <c r="GB40" i="5"/>
  <c r="GC40" i="5"/>
  <c r="GD40" i="5"/>
  <c r="GE40" i="5"/>
  <c r="GF40" i="5"/>
  <c r="GG40" i="5"/>
  <c r="GH40" i="5"/>
  <c r="GI40" i="5"/>
  <c r="GJ40" i="5"/>
  <c r="GK40" i="5"/>
  <c r="GL40" i="5"/>
  <c r="GM40" i="5"/>
  <c r="GN40" i="5"/>
  <c r="GO40" i="5"/>
  <c r="GP40" i="5"/>
  <c r="GQ40" i="5"/>
  <c r="GR40" i="5"/>
  <c r="GS40" i="5"/>
  <c r="GT40" i="5"/>
  <c r="GU40" i="5"/>
  <c r="GV40" i="5"/>
  <c r="GW40" i="5"/>
  <c r="GX40" i="5"/>
  <c r="GY40" i="5"/>
  <c r="GZ40" i="5"/>
  <c r="HA40" i="5"/>
  <c r="HB40" i="5"/>
  <c r="HC40" i="5"/>
  <c r="HD40" i="5"/>
  <c r="HE40" i="5"/>
  <c r="HF40" i="5"/>
  <c r="HG40" i="5"/>
  <c r="HH40" i="5"/>
  <c r="HI40" i="5"/>
  <c r="HJ40" i="5"/>
  <c r="HK40" i="5"/>
  <c r="HL40" i="5"/>
  <c r="HM40" i="5"/>
  <c r="HN40" i="5"/>
  <c r="HO40" i="5"/>
  <c r="HP40" i="5"/>
  <c r="HQ40" i="5"/>
  <c r="HR40" i="5"/>
  <c r="HS40" i="5"/>
  <c r="HT40" i="5"/>
  <c r="HU40" i="5"/>
  <c r="HV40" i="5"/>
  <c r="HW40" i="5"/>
  <c r="HX40" i="5"/>
  <c r="HY40" i="5"/>
  <c r="HZ40" i="5"/>
  <c r="IA40" i="5"/>
  <c r="IB40" i="5"/>
  <c r="IC40" i="5"/>
  <c r="ID40" i="5"/>
  <c r="IE40" i="5"/>
  <c r="IF40" i="5"/>
  <c r="IG40" i="5"/>
  <c r="IH40" i="5"/>
  <c r="II40" i="5"/>
  <c r="IJ40" i="5"/>
  <c r="IK40" i="5"/>
  <c r="IL40" i="5"/>
  <c r="IM40" i="5"/>
  <c r="IN40" i="5"/>
  <c r="IO40" i="5"/>
  <c r="IP40" i="5"/>
  <c r="IQ40" i="5"/>
  <c r="IR40" i="5"/>
  <c r="IS40" i="5"/>
  <c r="IT40" i="5"/>
  <c r="IU40" i="5"/>
  <c r="IV40" i="5"/>
  <c r="IW40" i="5"/>
  <c r="IX40" i="5"/>
  <c r="IY40" i="5"/>
  <c r="IZ40" i="5"/>
  <c r="JA40" i="5"/>
  <c r="JB40" i="5"/>
  <c r="JC40" i="5"/>
  <c r="JD40" i="5"/>
  <c r="JE40" i="5"/>
  <c r="JF40" i="5"/>
  <c r="JG40" i="5"/>
  <c r="JH40" i="5"/>
  <c r="JI40" i="5"/>
  <c r="JJ40" i="5"/>
  <c r="JK40" i="5"/>
  <c r="JL40" i="5"/>
  <c r="JM40" i="5"/>
  <c r="JN40" i="5"/>
  <c r="JO40" i="5"/>
  <c r="JP40" i="5"/>
  <c r="JQ40" i="5"/>
  <c r="JR40" i="5"/>
  <c r="JS40" i="5"/>
  <c r="JT40" i="5"/>
  <c r="JU40" i="5"/>
  <c r="JV40" i="5"/>
  <c r="JW40" i="5"/>
  <c r="JX40" i="5"/>
  <c r="JY40" i="5"/>
  <c r="JZ40" i="5"/>
  <c r="KA40" i="5"/>
  <c r="KB40" i="5"/>
  <c r="KC40" i="5"/>
  <c r="KD40" i="5"/>
  <c r="KE40" i="5"/>
  <c r="KF40" i="5"/>
  <c r="KG40" i="5"/>
  <c r="KH40" i="5"/>
  <c r="KI40" i="5"/>
  <c r="KJ40" i="5"/>
  <c r="KK40" i="5"/>
  <c r="KL40" i="5"/>
  <c r="KM40" i="5"/>
  <c r="KN40" i="5"/>
  <c r="KO40" i="5"/>
  <c r="KP40" i="5"/>
  <c r="KQ40" i="5"/>
  <c r="KR40" i="5"/>
  <c r="KS40" i="5"/>
  <c r="KT40" i="5"/>
  <c r="KU40" i="5"/>
  <c r="KV40" i="5"/>
  <c r="KW40" i="5"/>
  <c r="KX40" i="5"/>
  <c r="KY40" i="5"/>
  <c r="KZ40" i="5"/>
  <c r="LA40" i="5"/>
  <c r="LB40" i="5"/>
  <c r="LC40" i="5"/>
  <c r="LD40" i="5"/>
  <c r="LE40" i="5"/>
  <c r="LF40" i="5"/>
  <c r="LG40" i="5"/>
  <c r="LH40" i="5"/>
  <c r="LI40" i="5"/>
  <c r="LJ40" i="5"/>
  <c r="LK40" i="5"/>
  <c r="LL40" i="5"/>
  <c r="LM40" i="5"/>
  <c r="LN40" i="5"/>
  <c r="LO40" i="5"/>
  <c r="LP40" i="5"/>
  <c r="LQ40" i="5"/>
  <c r="LR40" i="5"/>
  <c r="LS40" i="5"/>
  <c r="LT40" i="5"/>
  <c r="LU40" i="5"/>
  <c r="LV40" i="5"/>
  <c r="LW40" i="5"/>
  <c r="LX40" i="5"/>
  <c r="LY40" i="5"/>
  <c r="LZ40" i="5"/>
  <c r="MA40" i="5"/>
  <c r="MB40" i="5"/>
  <c r="MC40" i="5"/>
  <c r="MD40" i="5"/>
  <c r="ME40" i="5"/>
  <c r="MF40" i="5"/>
  <c r="MG40" i="5"/>
  <c r="AU41" i="5"/>
  <c r="AV41" i="5"/>
  <c r="AW41" i="5"/>
  <c r="AX41" i="5"/>
  <c r="AY41" i="5"/>
  <c r="AZ41" i="5"/>
  <c r="BA41" i="5"/>
  <c r="BB41" i="5"/>
  <c r="BC41" i="5"/>
  <c r="BD41" i="5"/>
  <c r="BE41" i="5"/>
  <c r="BF41" i="5"/>
  <c r="BG41" i="5"/>
  <c r="BH41" i="5"/>
  <c r="BI41" i="5"/>
  <c r="BJ41" i="5"/>
  <c r="BK41" i="5"/>
  <c r="BL41" i="5"/>
  <c r="BM41" i="5"/>
  <c r="BN41" i="5"/>
  <c r="BO41" i="5"/>
  <c r="BP41" i="5"/>
  <c r="BQ41" i="5"/>
  <c r="BR41" i="5"/>
  <c r="BS41" i="5"/>
  <c r="BT41" i="5"/>
  <c r="BU41" i="5"/>
  <c r="BV41" i="5"/>
  <c r="BW41" i="5"/>
  <c r="BX41" i="5"/>
  <c r="BY41" i="5"/>
  <c r="BZ41" i="5"/>
  <c r="CA41" i="5"/>
  <c r="CB41" i="5"/>
  <c r="CC41" i="5"/>
  <c r="CD41" i="5"/>
  <c r="CE41" i="5"/>
  <c r="CF41" i="5"/>
  <c r="CG41" i="5"/>
  <c r="CH41" i="5"/>
  <c r="CI41" i="5"/>
  <c r="CJ41" i="5"/>
  <c r="CK41" i="5"/>
  <c r="CL41" i="5"/>
  <c r="CM41" i="5"/>
  <c r="CN41" i="5"/>
  <c r="CO41" i="5"/>
  <c r="CP41" i="5"/>
  <c r="CQ41" i="5"/>
  <c r="CR41" i="5"/>
  <c r="CS41" i="5"/>
  <c r="CT41" i="5"/>
  <c r="CU41" i="5"/>
  <c r="CV41" i="5"/>
  <c r="CW41" i="5"/>
  <c r="CX41" i="5"/>
  <c r="CY41" i="5"/>
  <c r="CZ41" i="5"/>
  <c r="DA41" i="5"/>
  <c r="DB41" i="5"/>
  <c r="DC41" i="5"/>
  <c r="DD41" i="5"/>
  <c r="DE41" i="5"/>
  <c r="DF41" i="5"/>
  <c r="DG41" i="5"/>
  <c r="DH41" i="5"/>
  <c r="DI41" i="5"/>
  <c r="DJ41" i="5"/>
  <c r="DK41" i="5"/>
  <c r="DL41" i="5"/>
  <c r="DM41" i="5"/>
  <c r="DN41" i="5"/>
  <c r="DO41" i="5"/>
  <c r="DP41" i="5"/>
  <c r="DQ41" i="5"/>
  <c r="DR41" i="5"/>
  <c r="DS41" i="5"/>
  <c r="DT41" i="5"/>
  <c r="DU41" i="5"/>
  <c r="DV41" i="5"/>
  <c r="DW41" i="5"/>
  <c r="DX41" i="5"/>
  <c r="DY41" i="5"/>
  <c r="DZ41" i="5"/>
  <c r="EA41" i="5"/>
  <c r="EB41" i="5"/>
  <c r="EC41" i="5"/>
  <c r="ED41" i="5"/>
  <c r="EE41" i="5"/>
  <c r="EF41" i="5"/>
  <c r="EG41" i="5"/>
  <c r="EH41" i="5"/>
  <c r="EI41" i="5"/>
  <c r="EJ41" i="5"/>
  <c r="EK41" i="5"/>
  <c r="EL41" i="5"/>
  <c r="EM41" i="5"/>
  <c r="EN41" i="5"/>
  <c r="EO41" i="5"/>
  <c r="EP41" i="5"/>
  <c r="EQ41" i="5"/>
  <c r="ER41" i="5"/>
  <c r="ES41" i="5"/>
  <c r="ET41" i="5"/>
  <c r="EU41" i="5"/>
  <c r="EV41" i="5"/>
  <c r="EW41" i="5"/>
  <c r="EX41" i="5"/>
  <c r="EY41" i="5"/>
  <c r="EZ41" i="5"/>
  <c r="FA41" i="5"/>
  <c r="FB41" i="5"/>
  <c r="FC41" i="5"/>
  <c r="FD41" i="5"/>
  <c r="FE41" i="5"/>
  <c r="FF41" i="5"/>
  <c r="FG41" i="5"/>
  <c r="FH41" i="5"/>
  <c r="FI41" i="5"/>
  <c r="FJ41" i="5"/>
  <c r="FK41" i="5"/>
  <c r="FL41" i="5"/>
  <c r="FM41" i="5"/>
  <c r="FN41" i="5"/>
  <c r="FO41" i="5"/>
  <c r="FP41" i="5"/>
  <c r="FQ41" i="5"/>
  <c r="FR41" i="5"/>
  <c r="FS41" i="5"/>
  <c r="FT41" i="5"/>
  <c r="FU41" i="5"/>
  <c r="FV41" i="5"/>
  <c r="FW41" i="5"/>
  <c r="FX41" i="5"/>
  <c r="FY41" i="5"/>
  <c r="FZ41" i="5"/>
  <c r="GA41" i="5"/>
  <c r="GB41" i="5"/>
  <c r="GC41" i="5"/>
  <c r="GD41" i="5"/>
  <c r="GE41" i="5"/>
  <c r="GF41" i="5"/>
  <c r="GG41" i="5"/>
  <c r="GH41" i="5"/>
  <c r="GI41" i="5"/>
  <c r="GJ41" i="5"/>
  <c r="GK41" i="5"/>
  <c r="GL41" i="5"/>
  <c r="GM41" i="5"/>
  <c r="GN41" i="5"/>
  <c r="GO41" i="5"/>
  <c r="GP41" i="5"/>
  <c r="GQ41" i="5"/>
  <c r="GR41" i="5"/>
  <c r="GS41" i="5"/>
  <c r="GT41" i="5"/>
  <c r="GU41" i="5"/>
  <c r="GV41" i="5"/>
  <c r="GW41" i="5"/>
  <c r="GX41" i="5"/>
  <c r="GY41" i="5"/>
  <c r="GZ41" i="5"/>
  <c r="HA41" i="5"/>
  <c r="HB41" i="5"/>
  <c r="HC41" i="5"/>
  <c r="HD41" i="5"/>
  <c r="HE41" i="5"/>
  <c r="HF41" i="5"/>
  <c r="HG41" i="5"/>
  <c r="HH41" i="5"/>
  <c r="HI41" i="5"/>
  <c r="HJ41" i="5"/>
  <c r="HK41" i="5"/>
  <c r="HL41" i="5"/>
  <c r="HM41" i="5"/>
  <c r="HN41" i="5"/>
  <c r="HO41" i="5"/>
  <c r="HP41" i="5"/>
  <c r="HQ41" i="5"/>
  <c r="HR41" i="5"/>
  <c r="HS41" i="5"/>
  <c r="HT41" i="5"/>
  <c r="HU41" i="5"/>
  <c r="HV41" i="5"/>
  <c r="HW41" i="5"/>
  <c r="HX41" i="5"/>
  <c r="HY41" i="5"/>
  <c r="HZ41" i="5"/>
  <c r="IA41" i="5"/>
  <c r="IB41" i="5"/>
  <c r="IC41" i="5"/>
  <c r="ID41" i="5"/>
  <c r="IE41" i="5"/>
  <c r="IF41" i="5"/>
  <c r="IG41" i="5"/>
  <c r="IH41" i="5"/>
  <c r="II41" i="5"/>
  <c r="IJ41" i="5"/>
  <c r="IK41" i="5"/>
  <c r="IL41" i="5"/>
  <c r="IM41" i="5"/>
  <c r="IN41" i="5"/>
  <c r="IO41" i="5"/>
  <c r="IP41" i="5"/>
  <c r="IQ41" i="5"/>
  <c r="IR41" i="5"/>
  <c r="IS41" i="5"/>
  <c r="IT41" i="5"/>
  <c r="IU41" i="5"/>
  <c r="IV41" i="5"/>
  <c r="IW41" i="5"/>
  <c r="IX41" i="5"/>
  <c r="IY41" i="5"/>
  <c r="IZ41" i="5"/>
  <c r="JA41" i="5"/>
  <c r="JB41" i="5"/>
  <c r="JC41" i="5"/>
  <c r="JD41" i="5"/>
  <c r="JE41" i="5"/>
  <c r="JF41" i="5"/>
  <c r="JG41" i="5"/>
  <c r="JH41" i="5"/>
  <c r="JI41" i="5"/>
  <c r="JJ41" i="5"/>
  <c r="JK41" i="5"/>
  <c r="JL41" i="5"/>
  <c r="JM41" i="5"/>
  <c r="JN41" i="5"/>
  <c r="JO41" i="5"/>
  <c r="JP41" i="5"/>
  <c r="JQ41" i="5"/>
  <c r="JR41" i="5"/>
  <c r="JS41" i="5"/>
  <c r="JT41" i="5"/>
  <c r="JU41" i="5"/>
  <c r="JV41" i="5"/>
  <c r="JW41" i="5"/>
  <c r="JX41" i="5"/>
  <c r="JY41" i="5"/>
  <c r="JZ41" i="5"/>
  <c r="KA41" i="5"/>
  <c r="KB41" i="5"/>
  <c r="KC41" i="5"/>
  <c r="KD41" i="5"/>
  <c r="KE41" i="5"/>
  <c r="KF41" i="5"/>
  <c r="KG41" i="5"/>
  <c r="KH41" i="5"/>
  <c r="KI41" i="5"/>
  <c r="KJ41" i="5"/>
  <c r="KK41" i="5"/>
  <c r="KL41" i="5"/>
  <c r="KM41" i="5"/>
  <c r="KN41" i="5"/>
  <c r="KO41" i="5"/>
  <c r="KP41" i="5"/>
  <c r="KQ41" i="5"/>
  <c r="KR41" i="5"/>
  <c r="KS41" i="5"/>
  <c r="KT41" i="5"/>
  <c r="KU41" i="5"/>
  <c r="KV41" i="5"/>
  <c r="KW41" i="5"/>
  <c r="KX41" i="5"/>
  <c r="KY41" i="5"/>
  <c r="KZ41" i="5"/>
  <c r="LA41" i="5"/>
  <c r="LB41" i="5"/>
  <c r="LC41" i="5"/>
  <c r="LD41" i="5"/>
  <c r="LE41" i="5"/>
  <c r="LF41" i="5"/>
  <c r="LG41" i="5"/>
  <c r="LH41" i="5"/>
  <c r="LI41" i="5"/>
  <c r="LJ41" i="5"/>
  <c r="LK41" i="5"/>
  <c r="LL41" i="5"/>
  <c r="LM41" i="5"/>
  <c r="LN41" i="5"/>
  <c r="LO41" i="5"/>
  <c r="LP41" i="5"/>
  <c r="LQ41" i="5"/>
  <c r="LR41" i="5"/>
  <c r="LS41" i="5"/>
  <c r="LT41" i="5"/>
  <c r="LU41" i="5"/>
  <c r="LV41" i="5"/>
  <c r="LW41" i="5"/>
  <c r="LX41" i="5"/>
  <c r="LY41" i="5"/>
  <c r="LZ41" i="5"/>
  <c r="MA41" i="5"/>
  <c r="MB41" i="5"/>
  <c r="MC41" i="5"/>
  <c r="MD41" i="5"/>
  <c r="ME41" i="5"/>
  <c r="MF41" i="5"/>
  <c r="MG41" i="5"/>
  <c r="AU42" i="5"/>
  <c r="AV42" i="5"/>
  <c r="AW42" i="5"/>
  <c r="AX42" i="5"/>
  <c r="AY42" i="5"/>
  <c r="AZ42" i="5"/>
  <c r="BA42" i="5"/>
  <c r="BB42" i="5"/>
  <c r="BC42" i="5"/>
  <c r="BD42" i="5"/>
  <c r="BE42" i="5"/>
  <c r="BF42" i="5"/>
  <c r="BG42" i="5"/>
  <c r="BH42" i="5"/>
  <c r="BI42" i="5"/>
  <c r="BJ42" i="5"/>
  <c r="BK42" i="5"/>
  <c r="BL42" i="5"/>
  <c r="BM42" i="5"/>
  <c r="BN42" i="5"/>
  <c r="BO42" i="5"/>
  <c r="BP42" i="5"/>
  <c r="BQ42" i="5"/>
  <c r="BR42" i="5"/>
  <c r="BS42" i="5"/>
  <c r="BT42" i="5"/>
  <c r="BU42" i="5"/>
  <c r="BV42" i="5"/>
  <c r="BW42" i="5"/>
  <c r="BX42" i="5"/>
  <c r="BY42" i="5"/>
  <c r="BZ42" i="5"/>
  <c r="CA42" i="5"/>
  <c r="CB42" i="5"/>
  <c r="CC42" i="5"/>
  <c r="CD42" i="5"/>
  <c r="CE42" i="5"/>
  <c r="CF42" i="5"/>
  <c r="CG42" i="5"/>
  <c r="CH42" i="5"/>
  <c r="CI42" i="5"/>
  <c r="CJ42" i="5"/>
  <c r="CK42" i="5"/>
  <c r="CL42" i="5"/>
  <c r="CM42" i="5"/>
  <c r="CN42" i="5"/>
  <c r="CO42" i="5"/>
  <c r="CP42" i="5"/>
  <c r="CQ42" i="5"/>
  <c r="CR42" i="5"/>
  <c r="CS42" i="5"/>
  <c r="CT42" i="5"/>
  <c r="CU42" i="5"/>
  <c r="CV42" i="5"/>
  <c r="CW42" i="5"/>
  <c r="CX42" i="5"/>
  <c r="CY42" i="5"/>
  <c r="CZ42" i="5"/>
  <c r="DA42" i="5"/>
  <c r="DB42" i="5"/>
  <c r="DC42" i="5"/>
  <c r="DD42" i="5"/>
  <c r="DE42" i="5"/>
  <c r="DF42" i="5"/>
  <c r="DG42" i="5"/>
  <c r="DH42" i="5"/>
  <c r="DI42" i="5"/>
  <c r="DJ42" i="5"/>
  <c r="DK42" i="5"/>
  <c r="DL42" i="5"/>
  <c r="DM42" i="5"/>
  <c r="DN42" i="5"/>
  <c r="DO42" i="5"/>
  <c r="DP42" i="5"/>
  <c r="DQ42" i="5"/>
  <c r="DR42" i="5"/>
  <c r="DS42" i="5"/>
  <c r="DT42" i="5"/>
  <c r="DU42" i="5"/>
  <c r="DV42" i="5"/>
  <c r="DW42" i="5"/>
  <c r="DX42" i="5"/>
  <c r="DY42" i="5"/>
  <c r="DZ42" i="5"/>
  <c r="EA42" i="5"/>
  <c r="EB42" i="5"/>
  <c r="EC42" i="5"/>
  <c r="ED42" i="5"/>
  <c r="EE42" i="5"/>
  <c r="EF42" i="5"/>
  <c r="EG42" i="5"/>
  <c r="EH42" i="5"/>
  <c r="EI42" i="5"/>
  <c r="EJ42" i="5"/>
  <c r="EK42" i="5"/>
  <c r="EL42" i="5"/>
  <c r="EM42" i="5"/>
  <c r="EN42" i="5"/>
  <c r="EO42" i="5"/>
  <c r="EP42" i="5"/>
  <c r="EQ42" i="5"/>
  <c r="ER42" i="5"/>
  <c r="ES42" i="5"/>
  <c r="ET42" i="5"/>
  <c r="EU42" i="5"/>
  <c r="EV42" i="5"/>
  <c r="EW42" i="5"/>
  <c r="EX42" i="5"/>
  <c r="EY42" i="5"/>
  <c r="EZ42" i="5"/>
  <c r="FA42" i="5"/>
  <c r="FB42" i="5"/>
  <c r="FC42" i="5"/>
  <c r="FD42" i="5"/>
  <c r="FE42" i="5"/>
  <c r="FF42" i="5"/>
  <c r="FG42" i="5"/>
  <c r="FH42" i="5"/>
  <c r="FI42" i="5"/>
  <c r="FJ42" i="5"/>
  <c r="FK42" i="5"/>
  <c r="FL42" i="5"/>
  <c r="FM42" i="5"/>
  <c r="FN42" i="5"/>
  <c r="FO42" i="5"/>
  <c r="FP42" i="5"/>
  <c r="FQ42" i="5"/>
  <c r="FR42" i="5"/>
  <c r="FS42" i="5"/>
  <c r="FT42" i="5"/>
  <c r="FU42" i="5"/>
  <c r="FV42" i="5"/>
  <c r="FW42" i="5"/>
  <c r="FX42" i="5"/>
  <c r="FY42" i="5"/>
  <c r="FZ42" i="5"/>
  <c r="GA42" i="5"/>
  <c r="GB42" i="5"/>
  <c r="GC42" i="5"/>
  <c r="GD42" i="5"/>
  <c r="GE42" i="5"/>
  <c r="GF42" i="5"/>
  <c r="GG42" i="5"/>
  <c r="GH42" i="5"/>
  <c r="GI42" i="5"/>
  <c r="GJ42" i="5"/>
  <c r="GK42" i="5"/>
  <c r="GL42" i="5"/>
  <c r="GM42" i="5"/>
  <c r="GN42" i="5"/>
  <c r="GO42" i="5"/>
  <c r="GP42" i="5"/>
  <c r="GQ42" i="5"/>
  <c r="GR42" i="5"/>
  <c r="GS42" i="5"/>
  <c r="GT42" i="5"/>
  <c r="GU42" i="5"/>
  <c r="GV42" i="5"/>
  <c r="GW42" i="5"/>
  <c r="GX42" i="5"/>
  <c r="GY42" i="5"/>
  <c r="GZ42" i="5"/>
  <c r="HA42" i="5"/>
  <c r="HB42" i="5"/>
  <c r="HC42" i="5"/>
  <c r="HD42" i="5"/>
  <c r="HE42" i="5"/>
  <c r="HF42" i="5"/>
  <c r="HG42" i="5"/>
  <c r="HH42" i="5"/>
  <c r="HI42" i="5"/>
  <c r="HJ42" i="5"/>
  <c r="HK42" i="5"/>
  <c r="HL42" i="5"/>
  <c r="HM42" i="5"/>
  <c r="HN42" i="5"/>
  <c r="HO42" i="5"/>
  <c r="HP42" i="5"/>
  <c r="HQ42" i="5"/>
  <c r="HR42" i="5"/>
  <c r="HS42" i="5"/>
  <c r="HT42" i="5"/>
  <c r="HU42" i="5"/>
  <c r="HV42" i="5"/>
  <c r="HW42" i="5"/>
  <c r="HX42" i="5"/>
  <c r="HY42" i="5"/>
  <c r="HZ42" i="5"/>
  <c r="IA42" i="5"/>
  <c r="IB42" i="5"/>
  <c r="IC42" i="5"/>
  <c r="ID42" i="5"/>
  <c r="IE42" i="5"/>
  <c r="IF42" i="5"/>
  <c r="IG42" i="5"/>
  <c r="IH42" i="5"/>
  <c r="II42" i="5"/>
  <c r="IJ42" i="5"/>
  <c r="IK42" i="5"/>
  <c r="IL42" i="5"/>
  <c r="IM42" i="5"/>
  <c r="IN42" i="5"/>
  <c r="IO42" i="5"/>
  <c r="IP42" i="5"/>
  <c r="IQ42" i="5"/>
  <c r="IR42" i="5"/>
  <c r="IS42" i="5"/>
  <c r="IT42" i="5"/>
  <c r="IU42" i="5"/>
  <c r="IV42" i="5"/>
  <c r="IW42" i="5"/>
  <c r="IX42" i="5"/>
  <c r="IY42" i="5"/>
  <c r="IZ42" i="5"/>
  <c r="JA42" i="5"/>
  <c r="JB42" i="5"/>
  <c r="JC42" i="5"/>
  <c r="JD42" i="5"/>
  <c r="JE42" i="5"/>
  <c r="JF42" i="5"/>
  <c r="JG42" i="5"/>
  <c r="JH42" i="5"/>
  <c r="JI42" i="5"/>
  <c r="JJ42" i="5"/>
  <c r="JK42" i="5"/>
  <c r="JL42" i="5"/>
  <c r="JM42" i="5"/>
  <c r="JN42" i="5"/>
  <c r="JO42" i="5"/>
  <c r="JP42" i="5"/>
  <c r="JQ42" i="5"/>
  <c r="JR42" i="5"/>
  <c r="JS42" i="5"/>
  <c r="JT42" i="5"/>
  <c r="JU42" i="5"/>
  <c r="JV42" i="5"/>
  <c r="JW42" i="5"/>
  <c r="JX42" i="5"/>
  <c r="JY42" i="5"/>
  <c r="JZ42" i="5"/>
  <c r="KA42" i="5"/>
  <c r="KB42" i="5"/>
  <c r="KC42" i="5"/>
  <c r="KD42" i="5"/>
  <c r="KE42" i="5"/>
  <c r="KF42" i="5"/>
  <c r="KG42" i="5"/>
  <c r="KH42" i="5"/>
  <c r="KI42" i="5"/>
  <c r="KJ42" i="5"/>
  <c r="KK42" i="5"/>
  <c r="KL42" i="5"/>
  <c r="KM42" i="5"/>
  <c r="KN42" i="5"/>
  <c r="KO42" i="5"/>
  <c r="KP42" i="5"/>
  <c r="KQ42" i="5"/>
  <c r="KR42" i="5"/>
  <c r="KS42" i="5"/>
  <c r="KT42" i="5"/>
  <c r="KU42" i="5"/>
  <c r="KV42" i="5"/>
  <c r="KW42" i="5"/>
  <c r="KX42" i="5"/>
  <c r="KY42" i="5"/>
  <c r="KZ42" i="5"/>
  <c r="LA42" i="5"/>
  <c r="LB42" i="5"/>
  <c r="LC42" i="5"/>
  <c r="LD42" i="5"/>
  <c r="LE42" i="5"/>
  <c r="LF42" i="5"/>
  <c r="LG42" i="5"/>
  <c r="LH42" i="5"/>
  <c r="LI42" i="5"/>
  <c r="LJ42" i="5"/>
  <c r="LK42" i="5"/>
  <c r="LL42" i="5"/>
  <c r="LM42" i="5"/>
  <c r="LN42" i="5"/>
  <c r="LO42" i="5"/>
  <c r="LP42" i="5"/>
  <c r="LQ42" i="5"/>
  <c r="LR42" i="5"/>
  <c r="LS42" i="5"/>
  <c r="LT42" i="5"/>
  <c r="LU42" i="5"/>
  <c r="LV42" i="5"/>
  <c r="LW42" i="5"/>
  <c r="LX42" i="5"/>
  <c r="LY42" i="5"/>
  <c r="LZ42" i="5"/>
  <c r="MA42" i="5"/>
  <c r="MB42" i="5"/>
  <c r="MC42" i="5"/>
  <c r="MD42" i="5"/>
  <c r="ME42" i="5"/>
  <c r="MF42" i="5"/>
  <c r="MG42" i="5"/>
  <c r="AU43" i="5"/>
  <c r="AV43" i="5"/>
  <c r="AW43" i="5"/>
  <c r="AX43" i="5"/>
  <c r="AY43" i="5"/>
  <c r="AZ43" i="5"/>
  <c r="BA43" i="5"/>
  <c r="BB43" i="5"/>
  <c r="BC43" i="5"/>
  <c r="BD43" i="5"/>
  <c r="BE43" i="5"/>
  <c r="BF43" i="5"/>
  <c r="BG43" i="5"/>
  <c r="BH43" i="5"/>
  <c r="BI43" i="5"/>
  <c r="BJ43" i="5"/>
  <c r="BK43" i="5"/>
  <c r="BL43" i="5"/>
  <c r="BM43" i="5"/>
  <c r="BN43" i="5"/>
  <c r="BO43" i="5"/>
  <c r="BP43" i="5"/>
  <c r="BQ43" i="5"/>
  <c r="BR43" i="5"/>
  <c r="BS43" i="5"/>
  <c r="BT43" i="5"/>
  <c r="BU43" i="5"/>
  <c r="BV43" i="5"/>
  <c r="BW43" i="5"/>
  <c r="BX43" i="5"/>
  <c r="BY43" i="5"/>
  <c r="BZ43" i="5"/>
  <c r="CA43" i="5"/>
  <c r="CB43" i="5"/>
  <c r="CC43" i="5"/>
  <c r="CD43" i="5"/>
  <c r="CE43" i="5"/>
  <c r="CF43" i="5"/>
  <c r="CG43" i="5"/>
  <c r="CH43" i="5"/>
  <c r="CI43" i="5"/>
  <c r="CJ43" i="5"/>
  <c r="CK43" i="5"/>
  <c r="CL43" i="5"/>
  <c r="CM43" i="5"/>
  <c r="CN43" i="5"/>
  <c r="CO43" i="5"/>
  <c r="CP43" i="5"/>
  <c r="CQ43" i="5"/>
  <c r="CR43" i="5"/>
  <c r="CS43" i="5"/>
  <c r="CT43" i="5"/>
  <c r="CU43" i="5"/>
  <c r="CV43" i="5"/>
  <c r="CW43" i="5"/>
  <c r="CX43" i="5"/>
  <c r="CY43" i="5"/>
  <c r="CZ43" i="5"/>
  <c r="DA43" i="5"/>
  <c r="DB43" i="5"/>
  <c r="DC43" i="5"/>
  <c r="DD43" i="5"/>
  <c r="DE43" i="5"/>
  <c r="DF43" i="5"/>
  <c r="DG43" i="5"/>
  <c r="DH43" i="5"/>
  <c r="DI43" i="5"/>
  <c r="DJ43" i="5"/>
  <c r="DK43" i="5"/>
  <c r="DL43" i="5"/>
  <c r="DM43" i="5"/>
  <c r="DN43" i="5"/>
  <c r="DO43" i="5"/>
  <c r="DP43" i="5"/>
  <c r="DQ43" i="5"/>
  <c r="DR43" i="5"/>
  <c r="DS43" i="5"/>
  <c r="DT43" i="5"/>
  <c r="DU43" i="5"/>
  <c r="DV43" i="5"/>
  <c r="DW43" i="5"/>
  <c r="DX43" i="5"/>
  <c r="DY43" i="5"/>
  <c r="DZ43" i="5"/>
  <c r="EA43" i="5"/>
  <c r="EB43" i="5"/>
  <c r="EC43" i="5"/>
  <c r="ED43" i="5"/>
  <c r="EE43" i="5"/>
  <c r="EF43" i="5"/>
  <c r="EG43" i="5"/>
  <c r="EH43" i="5"/>
  <c r="EI43" i="5"/>
  <c r="EJ43" i="5"/>
  <c r="EK43" i="5"/>
  <c r="EL43" i="5"/>
  <c r="EM43" i="5"/>
  <c r="EN43" i="5"/>
  <c r="EO43" i="5"/>
  <c r="EP43" i="5"/>
  <c r="EQ43" i="5"/>
  <c r="ER43" i="5"/>
  <c r="ES43" i="5"/>
  <c r="ET43" i="5"/>
  <c r="EU43" i="5"/>
  <c r="EV43" i="5"/>
  <c r="EW43" i="5"/>
  <c r="EX43" i="5"/>
  <c r="EY43" i="5"/>
  <c r="EZ43" i="5"/>
  <c r="FA43" i="5"/>
  <c r="FB43" i="5"/>
  <c r="FC43" i="5"/>
  <c r="FD43" i="5"/>
  <c r="FE43" i="5"/>
  <c r="FF43" i="5"/>
  <c r="FG43" i="5"/>
  <c r="FH43" i="5"/>
  <c r="FI43" i="5"/>
  <c r="FJ43" i="5"/>
  <c r="FK43" i="5"/>
  <c r="FL43" i="5"/>
  <c r="FM43" i="5"/>
  <c r="FN43" i="5"/>
  <c r="FO43" i="5"/>
  <c r="FP43" i="5"/>
  <c r="FQ43" i="5"/>
  <c r="FR43" i="5"/>
  <c r="FS43" i="5"/>
  <c r="FT43" i="5"/>
  <c r="FU43" i="5"/>
  <c r="FV43" i="5"/>
  <c r="FW43" i="5"/>
  <c r="FX43" i="5"/>
  <c r="FY43" i="5"/>
  <c r="FZ43" i="5"/>
  <c r="GA43" i="5"/>
  <c r="GB43" i="5"/>
  <c r="GC43" i="5"/>
  <c r="GD43" i="5"/>
  <c r="GE43" i="5"/>
  <c r="GF43" i="5"/>
  <c r="GG43" i="5"/>
  <c r="GH43" i="5"/>
  <c r="GI43" i="5"/>
  <c r="GJ43" i="5"/>
  <c r="GK43" i="5"/>
  <c r="GL43" i="5"/>
  <c r="GM43" i="5"/>
  <c r="GN43" i="5"/>
  <c r="GO43" i="5"/>
  <c r="GP43" i="5"/>
  <c r="GQ43" i="5"/>
  <c r="GR43" i="5"/>
  <c r="GS43" i="5"/>
  <c r="GT43" i="5"/>
  <c r="GU43" i="5"/>
  <c r="GV43" i="5"/>
  <c r="GW43" i="5"/>
  <c r="GX43" i="5"/>
  <c r="GY43" i="5"/>
  <c r="GZ43" i="5"/>
  <c r="HA43" i="5"/>
  <c r="HB43" i="5"/>
  <c r="HC43" i="5"/>
  <c r="HD43" i="5"/>
  <c r="HE43" i="5"/>
  <c r="HF43" i="5"/>
  <c r="HG43" i="5"/>
  <c r="HH43" i="5"/>
  <c r="HI43" i="5"/>
  <c r="HJ43" i="5"/>
  <c r="HK43" i="5"/>
  <c r="HL43" i="5"/>
  <c r="HM43" i="5"/>
  <c r="HN43" i="5"/>
  <c r="HO43" i="5"/>
  <c r="HP43" i="5"/>
  <c r="HQ43" i="5"/>
  <c r="HR43" i="5"/>
  <c r="HS43" i="5"/>
  <c r="HT43" i="5"/>
  <c r="HU43" i="5"/>
  <c r="HV43" i="5"/>
  <c r="HW43" i="5"/>
  <c r="HX43" i="5"/>
  <c r="HY43" i="5"/>
  <c r="HZ43" i="5"/>
  <c r="IA43" i="5"/>
  <c r="IB43" i="5"/>
  <c r="IC43" i="5"/>
  <c r="ID43" i="5"/>
  <c r="IE43" i="5"/>
  <c r="IF43" i="5"/>
  <c r="IG43" i="5"/>
  <c r="IH43" i="5"/>
  <c r="II43" i="5"/>
  <c r="IJ43" i="5"/>
  <c r="IK43" i="5"/>
  <c r="IL43" i="5"/>
  <c r="IM43" i="5"/>
  <c r="IN43" i="5"/>
  <c r="IO43" i="5"/>
  <c r="IP43" i="5"/>
  <c r="IQ43" i="5"/>
  <c r="IR43" i="5"/>
  <c r="IS43" i="5"/>
  <c r="IT43" i="5"/>
  <c r="IU43" i="5"/>
  <c r="IV43" i="5"/>
  <c r="IW43" i="5"/>
  <c r="IX43" i="5"/>
  <c r="IY43" i="5"/>
  <c r="IZ43" i="5"/>
  <c r="JA43" i="5"/>
  <c r="JB43" i="5"/>
  <c r="JC43" i="5"/>
  <c r="JD43" i="5"/>
  <c r="JE43" i="5"/>
  <c r="JF43" i="5"/>
  <c r="JG43" i="5"/>
  <c r="JH43" i="5"/>
  <c r="JI43" i="5"/>
  <c r="JJ43" i="5"/>
  <c r="JK43" i="5"/>
  <c r="JL43" i="5"/>
  <c r="JM43" i="5"/>
  <c r="JN43" i="5"/>
  <c r="JO43" i="5"/>
  <c r="JP43" i="5"/>
  <c r="JQ43" i="5"/>
  <c r="JR43" i="5"/>
  <c r="JS43" i="5"/>
  <c r="JT43" i="5"/>
  <c r="JU43" i="5"/>
  <c r="JV43" i="5"/>
  <c r="JW43" i="5"/>
  <c r="JX43" i="5"/>
  <c r="JY43" i="5"/>
  <c r="JZ43" i="5"/>
  <c r="KA43" i="5"/>
  <c r="KB43" i="5"/>
  <c r="KC43" i="5"/>
  <c r="KD43" i="5"/>
  <c r="KE43" i="5"/>
  <c r="KF43" i="5"/>
  <c r="KG43" i="5"/>
  <c r="KH43" i="5"/>
  <c r="KI43" i="5"/>
  <c r="KJ43" i="5"/>
  <c r="KK43" i="5"/>
  <c r="KL43" i="5"/>
  <c r="KM43" i="5"/>
  <c r="KN43" i="5"/>
  <c r="KO43" i="5"/>
  <c r="KP43" i="5"/>
  <c r="KQ43" i="5"/>
  <c r="KR43" i="5"/>
  <c r="KS43" i="5"/>
  <c r="KT43" i="5"/>
  <c r="KU43" i="5"/>
  <c r="KV43" i="5"/>
  <c r="KW43" i="5"/>
  <c r="KX43" i="5"/>
  <c r="KY43" i="5"/>
  <c r="KZ43" i="5"/>
  <c r="LA43" i="5"/>
  <c r="LB43" i="5"/>
  <c r="LC43" i="5"/>
  <c r="LD43" i="5"/>
  <c r="LE43" i="5"/>
  <c r="LF43" i="5"/>
  <c r="LG43" i="5"/>
  <c r="LH43" i="5"/>
  <c r="LI43" i="5"/>
  <c r="LJ43" i="5"/>
  <c r="LK43" i="5"/>
  <c r="LL43" i="5"/>
  <c r="LM43" i="5"/>
  <c r="LN43" i="5"/>
  <c r="LO43" i="5"/>
  <c r="LP43" i="5"/>
  <c r="LQ43" i="5"/>
  <c r="LR43" i="5"/>
  <c r="LS43" i="5"/>
  <c r="LT43" i="5"/>
  <c r="LU43" i="5"/>
  <c r="LV43" i="5"/>
  <c r="LW43" i="5"/>
  <c r="LX43" i="5"/>
  <c r="LY43" i="5"/>
  <c r="LZ43" i="5"/>
  <c r="MA43" i="5"/>
  <c r="MB43" i="5"/>
  <c r="MC43" i="5"/>
  <c r="MD43" i="5"/>
  <c r="ME43" i="5"/>
  <c r="MF43" i="5"/>
  <c r="MG43" i="5"/>
  <c r="AU44" i="5"/>
  <c r="AV44" i="5"/>
  <c r="AW44" i="5"/>
  <c r="AX44" i="5"/>
  <c r="AY44" i="5"/>
  <c r="AZ44" i="5"/>
  <c r="BA44" i="5"/>
  <c r="BB44" i="5"/>
  <c r="BC44" i="5"/>
  <c r="BD44" i="5"/>
  <c r="BE44" i="5"/>
  <c r="BF44" i="5"/>
  <c r="BG44" i="5"/>
  <c r="BH44" i="5"/>
  <c r="BI44" i="5"/>
  <c r="BJ44" i="5"/>
  <c r="BK44" i="5"/>
  <c r="BL44" i="5"/>
  <c r="BM44" i="5"/>
  <c r="BN44" i="5"/>
  <c r="BO44" i="5"/>
  <c r="BP44" i="5"/>
  <c r="BQ44" i="5"/>
  <c r="BR44" i="5"/>
  <c r="BS44" i="5"/>
  <c r="BT44" i="5"/>
  <c r="BU44" i="5"/>
  <c r="BV44" i="5"/>
  <c r="BW44" i="5"/>
  <c r="BX44" i="5"/>
  <c r="BY44" i="5"/>
  <c r="BZ44" i="5"/>
  <c r="CA44" i="5"/>
  <c r="CB44" i="5"/>
  <c r="CC44" i="5"/>
  <c r="CD44" i="5"/>
  <c r="CE44" i="5"/>
  <c r="CF44" i="5"/>
  <c r="CG44" i="5"/>
  <c r="CH44" i="5"/>
  <c r="CI44" i="5"/>
  <c r="CJ44" i="5"/>
  <c r="CK44" i="5"/>
  <c r="CL44" i="5"/>
  <c r="CM44" i="5"/>
  <c r="CN44" i="5"/>
  <c r="CO44" i="5"/>
  <c r="CP44" i="5"/>
  <c r="CQ44" i="5"/>
  <c r="CR44" i="5"/>
  <c r="CS44" i="5"/>
  <c r="CT44" i="5"/>
  <c r="CU44" i="5"/>
  <c r="CV44" i="5"/>
  <c r="CW44" i="5"/>
  <c r="CX44" i="5"/>
  <c r="CY44" i="5"/>
  <c r="CZ44" i="5"/>
  <c r="DA44" i="5"/>
  <c r="DB44" i="5"/>
  <c r="DC44" i="5"/>
  <c r="DD44" i="5"/>
  <c r="DE44" i="5"/>
  <c r="DF44" i="5"/>
  <c r="DG44" i="5"/>
  <c r="DH44" i="5"/>
  <c r="DI44" i="5"/>
  <c r="DJ44" i="5"/>
  <c r="DK44" i="5"/>
  <c r="DL44" i="5"/>
  <c r="DM44" i="5"/>
  <c r="DN44" i="5"/>
  <c r="DO44" i="5"/>
  <c r="DP44" i="5"/>
  <c r="DQ44" i="5"/>
  <c r="DR44" i="5"/>
  <c r="DS44" i="5"/>
  <c r="DT44" i="5"/>
  <c r="DU44" i="5"/>
  <c r="DV44" i="5"/>
  <c r="DW44" i="5"/>
  <c r="DX44" i="5"/>
  <c r="DY44" i="5"/>
  <c r="DZ44" i="5"/>
  <c r="EA44" i="5"/>
  <c r="EB44" i="5"/>
  <c r="EC44" i="5"/>
  <c r="ED44" i="5"/>
  <c r="EE44" i="5"/>
  <c r="EF44" i="5"/>
  <c r="EG44" i="5"/>
  <c r="EH44" i="5"/>
  <c r="EI44" i="5"/>
  <c r="EJ44" i="5"/>
  <c r="EK44" i="5"/>
  <c r="EL44" i="5"/>
  <c r="EM44" i="5"/>
  <c r="EN44" i="5"/>
  <c r="EO44" i="5"/>
  <c r="EP44" i="5"/>
  <c r="EQ44" i="5"/>
  <c r="ER44" i="5"/>
  <c r="ES44" i="5"/>
  <c r="ET44" i="5"/>
  <c r="EU44" i="5"/>
  <c r="EV44" i="5"/>
  <c r="EW44" i="5"/>
  <c r="EX44" i="5"/>
  <c r="EY44" i="5"/>
  <c r="EZ44" i="5"/>
  <c r="FA44" i="5"/>
  <c r="FB44" i="5"/>
  <c r="FC44" i="5"/>
  <c r="FD44" i="5"/>
  <c r="FE44" i="5"/>
  <c r="FF44" i="5"/>
  <c r="FG44" i="5"/>
  <c r="FH44" i="5"/>
  <c r="FI44" i="5"/>
  <c r="FJ44" i="5"/>
  <c r="FK44" i="5"/>
  <c r="FL44" i="5"/>
  <c r="FM44" i="5"/>
  <c r="FN44" i="5"/>
  <c r="FO44" i="5"/>
  <c r="FP44" i="5"/>
  <c r="FQ44" i="5"/>
  <c r="FR44" i="5"/>
  <c r="FS44" i="5"/>
  <c r="FT44" i="5"/>
  <c r="FU44" i="5"/>
  <c r="FV44" i="5"/>
  <c r="FW44" i="5"/>
  <c r="FX44" i="5"/>
  <c r="FY44" i="5"/>
  <c r="FZ44" i="5"/>
  <c r="GA44" i="5"/>
  <c r="GB44" i="5"/>
  <c r="GC44" i="5"/>
  <c r="GD44" i="5"/>
  <c r="GE44" i="5"/>
  <c r="GF44" i="5"/>
  <c r="GG44" i="5"/>
  <c r="GH44" i="5"/>
  <c r="GI44" i="5"/>
  <c r="GJ44" i="5"/>
  <c r="GK44" i="5"/>
  <c r="GL44" i="5"/>
  <c r="GM44" i="5"/>
  <c r="GN44" i="5"/>
  <c r="GO44" i="5"/>
  <c r="GP44" i="5"/>
  <c r="GQ44" i="5"/>
  <c r="GR44" i="5"/>
  <c r="GS44" i="5"/>
  <c r="GT44" i="5"/>
  <c r="GU44" i="5"/>
  <c r="GV44" i="5"/>
  <c r="GW44" i="5"/>
  <c r="GX44" i="5"/>
  <c r="GY44" i="5"/>
  <c r="GZ44" i="5"/>
  <c r="HA44" i="5"/>
  <c r="HB44" i="5"/>
  <c r="HC44" i="5"/>
  <c r="HD44" i="5"/>
  <c r="HE44" i="5"/>
  <c r="HF44" i="5"/>
  <c r="HG44" i="5"/>
  <c r="HH44" i="5"/>
  <c r="HI44" i="5"/>
  <c r="HJ44" i="5"/>
  <c r="HK44" i="5"/>
  <c r="HL44" i="5"/>
  <c r="HM44" i="5"/>
  <c r="HN44" i="5"/>
  <c r="HO44" i="5"/>
  <c r="HP44" i="5"/>
  <c r="HQ44" i="5"/>
  <c r="HR44" i="5"/>
  <c r="HS44" i="5"/>
  <c r="HT44" i="5"/>
  <c r="HU44" i="5"/>
  <c r="HV44" i="5"/>
  <c r="HW44" i="5"/>
  <c r="HX44" i="5"/>
  <c r="HY44" i="5"/>
  <c r="HZ44" i="5"/>
  <c r="IA44" i="5"/>
  <c r="IB44" i="5"/>
  <c r="IC44" i="5"/>
  <c r="ID44" i="5"/>
  <c r="IE44" i="5"/>
  <c r="IF44" i="5"/>
  <c r="IG44" i="5"/>
  <c r="IH44" i="5"/>
  <c r="II44" i="5"/>
  <c r="IJ44" i="5"/>
  <c r="IK44" i="5"/>
  <c r="IL44" i="5"/>
  <c r="IM44" i="5"/>
  <c r="IN44" i="5"/>
  <c r="IO44" i="5"/>
  <c r="IP44" i="5"/>
  <c r="IQ44" i="5"/>
  <c r="IR44" i="5"/>
  <c r="IS44" i="5"/>
  <c r="IT44" i="5"/>
  <c r="IU44" i="5"/>
  <c r="IV44" i="5"/>
  <c r="IW44" i="5"/>
  <c r="IX44" i="5"/>
  <c r="IY44" i="5"/>
  <c r="IZ44" i="5"/>
  <c r="JA44" i="5"/>
  <c r="JB44" i="5"/>
  <c r="JC44" i="5"/>
  <c r="JD44" i="5"/>
  <c r="JE44" i="5"/>
  <c r="JF44" i="5"/>
  <c r="JG44" i="5"/>
  <c r="JH44" i="5"/>
  <c r="JI44" i="5"/>
  <c r="JJ44" i="5"/>
  <c r="JK44" i="5"/>
  <c r="JL44" i="5"/>
  <c r="JM44" i="5"/>
  <c r="JN44" i="5"/>
  <c r="JO44" i="5"/>
  <c r="JP44" i="5"/>
  <c r="JQ44" i="5"/>
  <c r="JR44" i="5"/>
  <c r="JS44" i="5"/>
  <c r="JT44" i="5"/>
  <c r="JU44" i="5"/>
  <c r="JV44" i="5"/>
  <c r="JW44" i="5"/>
  <c r="JX44" i="5"/>
  <c r="JY44" i="5"/>
  <c r="JZ44" i="5"/>
  <c r="KA44" i="5"/>
  <c r="KB44" i="5"/>
  <c r="KC44" i="5"/>
  <c r="KD44" i="5"/>
  <c r="KE44" i="5"/>
  <c r="KF44" i="5"/>
  <c r="KG44" i="5"/>
  <c r="KH44" i="5"/>
  <c r="KI44" i="5"/>
  <c r="KJ44" i="5"/>
  <c r="KK44" i="5"/>
  <c r="KL44" i="5"/>
  <c r="KM44" i="5"/>
  <c r="KN44" i="5"/>
  <c r="KO44" i="5"/>
  <c r="KP44" i="5"/>
  <c r="KQ44" i="5"/>
  <c r="KR44" i="5"/>
  <c r="KS44" i="5"/>
  <c r="KT44" i="5"/>
  <c r="KU44" i="5"/>
  <c r="KV44" i="5"/>
  <c r="KW44" i="5"/>
  <c r="KX44" i="5"/>
  <c r="KY44" i="5"/>
  <c r="KZ44" i="5"/>
  <c r="LA44" i="5"/>
  <c r="LB44" i="5"/>
  <c r="LC44" i="5"/>
  <c r="LD44" i="5"/>
  <c r="LE44" i="5"/>
  <c r="LF44" i="5"/>
  <c r="LG44" i="5"/>
  <c r="LH44" i="5"/>
  <c r="LI44" i="5"/>
  <c r="LJ44" i="5"/>
  <c r="LK44" i="5"/>
  <c r="LL44" i="5"/>
  <c r="LM44" i="5"/>
  <c r="LN44" i="5"/>
  <c r="LO44" i="5"/>
  <c r="LP44" i="5"/>
  <c r="LQ44" i="5"/>
  <c r="LR44" i="5"/>
  <c r="LS44" i="5"/>
  <c r="LT44" i="5"/>
  <c r="LU44" i="5"/>
  <c r="LV44" i="5"/>
  <c r="LW44" i="5"/>
  <c r="LX44" i="5"/>
  <c r="LY44" i="5"/>
  <c r="LZ44" i="5"/>
  <c r="MA44" i="5"/>
  <c r="MB44" i="5"/>
  <c r="MC44" i="5"/>
  <c r="MD44" i="5"/>
  <c r="ME44" i="5"/>
  <c r="MF44" i="5"/>
  <c r="MG44" i="5"/>
  <c r="AU45" i="5"/>
  <c r="AV45" i="5"/>
  <c r="AW45" i="5"/>
  <c r="AX45" i="5"/>
  <c r="AY45" i="5"/>
  <c r="AZ45" i="5"/>
  <c r="BA45" i="5"/>
  <c r="BB45" i="5"/>
  <c r="BC45" i="5"/>
  <c r="BD45" i="5"/>
  <c r="BE45" i="5"/>
  <c r="BF45" i="5"/>
  <c r="BG45" i="5"/>
  <c r="BH45" i="5"/>
  <c r="BI45" i="5"/>
  <c r="BJ45" i="5"/>
  <c r="BK45" i="5"/>
  <c r="BL45" i="5"/>
  <c r="BM45" i="5"/>
  <c r="BN45" i="5"/>
  <c r="BO45" i="5"/>
  <c r="BP45" i="5"/>
  <c r="BQ45" i="5"/>
  <c r="BR45" i="5"/>
  <c r="BS45" i="5"/>
  <c r="BT45" i="5"/>
  <c r="BU45" i="5"/>
  <c r="BV45" i="5"/>
  <c r="BW45" i="5"/>
  <c r="BX45" i="5"/>
  <c r="BY45" i="5"/>
  <c r="BZ45" i="5"/>
  <c r="CA45" i="5"/>
  <c r="CB45" i="5"/>
  <c r="CC45" i="5"/>
  <c r="CD45" i="5"/>
  <c r="CE45" i="5"/>
  <c r="CF45" i="5"/>
  <c r="CG45" i="5"/>
  <c r="CH45" i="5"/>
  <c r="CI45" i="5"/>
  <c r="CJ45" i="5"/>
  <c r="CK45" i="5"/>
  <c r="CL45" i="5"/>
  <c r="CM45" i="5"/>
  <c r="CN45" i="5"/>
  <c r="CO45" i="5"/>
  <c r="CP45" i="5"/>
  <c r="CQ45" i="5"/>
  <c r="CR45" i="5"/>
  <c r="CS45" i="5"/>
  <c r="CT45" i="5"/>
  <c r="CU45" i="5"/>
  <c r="CV45" i="5"/>
  <c r="CW45" i="5"/>
  <c r="CX45" i="5"/>
  <c r="CY45" i="5"/>
  <c r="CZ45" i="5"/>
  <c r="DA45" i="5"/>
  <c r="DB45" i="5"/>
  <c r="DC45" i="5"/>
  <c r="DD45" i="5"/>
  <c r="DE45" i="5"/>
  <c r="DF45" i="5"/>
  <c r="DG45" i="5"/>
  <c r="DH45" i="5"/>
  <c r="DI45" i="5"/>
  <c r="DJ45" i="5"/>
  <c r="DK45" i="5"/>
  <c r="DL45" i="5"/>
  <c r="DM45" i="5"/>
  <c r="DN45" i="5"/>
  <c r="DO45" i="5"/>
  <c r="DP45" i="5"/>
  <c r="DQ45" i="5"/>
  <c r="DR45" i="5"/>
  <c r="DS45" i="5"/>
  <c r="DT45" i="5"/>
  <c r="DU45" i="5"/>
  <c r="DV45" i="5"/>
  <c r="DW45" i="5"/>
  <c r="DX45" i="5"/>
  <c r="DY45" i="5"/>
  <c r="DZ45" i="5"/>
  <c r="EA45" i="5"/>
  <c r="EB45" i="5"/>
  <c r="EC45" i="5"/>
  <c r="ED45" i="5"/>
  <c r="EE45" i="5"/>
  <c r="EF45" i="5"/>
  <c r="EG45" i="5"/>
  <c r="EH45" i="5"/>
  <c r="EI45" i="5"/>
  <c r="EJ45" i="5"/>
  <c r="EK45" i="5"/>
  <c r="EL45" i="5"/>
  <c r="EM45" i="5"/>
  <c r="EN45" i="5"/>
  <c r="EO45" i="5"/>
  <c r="EP45" i="5"/>
  <c r="EQ45" i="5"/>
  <c r="ER45" i="5"/>
  <c r="ES45" i="5"/>
  <c r="ET45" i="5"/>
  <c r="EU45" i="5"/>
  <c r="EV45" i="5"/>
  <c r="EW45" i="5"/>
  <c r="EX45" i="5"/>
  <c r="EY45" i="5"/>
  <c r="EZ45" i="5"/>
  <c r="FA45" i="5"/>
  <c r="FB45" i="5"/>
  <c r="FC45" i="5"/>
  <c r="FD45" i="5"/>
  <c r="FE45" i="5"/>
  <c r="FF45" i="5"/>
  <c r="FG45" i="5"/>
  <c r="FH45" i="5"/>
  <c r="FI45" i="5"/>
  <c r="FJ45" i="5"/>
  <c r="FK45" i="5"/>
  <c r="FL45" i="5"/>
  <c r="FM45" i="5"/>
  <c r="FN45" i="5"/>
  <c r="FO45" i="5"/>
  <c r="FP45" i="5"/>
  <c r="FQ45" i="5"/>
  <c r="FR45" i="5"/>
  <c r="FS45" i="5"/>
  <c r="FT45" i="5"/>
  <c r="FU45" i="5"/>
  <c r="FV45" i="5"/>
  <c r="FW45" i="5"/>
  <c r="FX45" i="5"/>
  <c r="FY45" i="5"/>
  <c r="FZ45" i="5"/>
  <c r="GA45" i="5"/>
  <c r="GB45" i="5"/>
  <c r="GC45" i="5"/>
  <c r="GD45" i="5"/>
  <c r="GE45" i="5"/>
  <c r="GF45" i="5"/>
  <c r="GG45" i="5"/>
  <c r="GH45" i="5"/>
  <c r="GI45" i="5"/>
  <c r="GJ45" i="5"/>
  <c r="GK45" i="5"/>
  <c r="GL45" i="5"/>
  <c r="GM45" i="5"/>
  <c r="GN45" i="5"/>
  <c r="GO45" i="5"/>
  <c r="GP45" i="5"/>
  <c r="GQ45" i="5"/>
  <c r="GR45" i="5"/>
  <c r="GS45" i="5"/>
  <c r="GT45" i="5"/>
  <c r="GU45" i="5"/>
  <c r="GV45" i="5"/>
  <c r="GW45" i="5"/>
  <c r="GX45" i="5"/>
  <c r="GY45" i="5"/>
  <c r="GZ45" i="5"/>
  <c r="HA45" i="5"/>
  <c r="HB45" i="5"/>
  <c r="HC45" i="5"/>
  <c r="HD45" i="5"/>
  <c r="HE45" i="5"/>
  <c r="HF45" i="5"/>
  <c r="HG45" i="5"/>
  <c r="HH45" i="5"/>
  <c r="HI45" i="5"/>
  <c r="HJ45" i="5"/>
  <c r="HK45" i="5"/>
  <c r="HL45" i="5"/>
  <c r="HM45" i="5"/>
  <c r="HN45" i="5"/>
  <c r="HO45" i="5"/>
  <c r="HP45" i="5"/>
  <c r="HQ45" i="5"/>
  <c r="HR45" i="5"/>
  <c r="HS45" i="5"/>
  <c r="HT45" i="5"/>
  <c r="HU45" i="5"/>
  <c r="HV45" i="5"/>
  <c r="HW45" i="5"/>
  <c r="HX45" i="5"/>
  <c r="HY45" i="5"/>
  <c r="HZ45" i="5"/>
  <c r="IA45" i="5"/>
  <c r="IB45" i="5"/>
  <c r="IC45" i="5"/>
  <c r="ID45" i="5"/>
  <c r="IE45" i="5"/>
  <c r="IF45" i="5"/>
  <c r="IG45" i="5"/>
  <c r="IH45" i="5"/>
  <c r="II45" i="5"/>
  <c r="IJ45" i="5"/>
  <c r="IK45" i="5"/>
  <c r="IL45" i="5"/>
  <c r="IM45" i="5"/>
  <c r="IN45" i="5"/>
  <c r="IO45" i="5"/>
  <c r="IP45" i="5"/>
  <c r="IQ45" i="5"/>
  <c r="IR45" i="5"/>
  <c r="IS45" i="5"/>
  <c r="IT45" i="5"/>
  <c r="IU45" i="5"/>
  <c r="IV45" i="5"/>
  <c r="IW45" i="5"/>
  <c r="IX45" i="5"/>
  <c r="IY45" i="5"/>
  <c r="IZ45" i="5"/>
  <c r="JA45" i="5"/>
  <c r="JB45" i="5"/>
  <c r="JC45" i="5"/>
  <c r="JD45" i="5"/>
  <c r="JE45" i="5"/>
  <c r="JF45" i="5"/>
  <c r="JG45" i="5"/>
  <c r="JH45" i="5"/>
  <c r="JI45" i="5"/>
  <c r="JJ45" i="5"/>
  <c r="JK45" i="5"/>
  <c r="JL45" i="5"/>
  <c r="JM45" i="5"/>
  <c r="JN45" i="5"/>
  <c r="JO45" i="5"/>
  <c r="JP45" i="5"/>
  <c r="JQ45" i="5"/>
  <c r="JR45" i="5"/>
  <c r="JS45" i="5"/>
  <c r="JT45" i="5"/>
  <c r="JU45" i="5"/>
  <c r="JV45" i="5"/>
  <c r="JW45" i="5"/>
  <c r="JX45" i="5"/>
  <c r="JY45" i="5"/>
  <c r="JZ45" i="5"/>
  <c r="KA45" i="5"/>
  <c r="KB45" i="5"/>
  <c r="KC45" i="5"/>
  <c r="KD45" i="5"/>
  <c r="KE45" i="5"/>
  <c r="KF45" i="5"/>
  <c r="KG45" i="5"/>
  <c r="KH45" i="5"/>
  <c r="KI45" i="5"/>
  <c r="KJ45" i="5"/>
  <c r="KK45" i="5"/>
  <c r="KL45" i="5"/>
  <c r="KM45" i="5"/>
  <c r="KN45" i="5"/>
  <c r="KO45" i="5"/>
  <c r="KP45" i="5"/>
  <c r="KQ45" i="5"/>
  <c r="KR45" i="5"/>
  <c r="KS45" i="5"/>
  <c r="KT45" i="5"/>
  <c r="KU45" i="5"/>
  <c r="KV45" i="5"/>
  <c r="KW45" i="5"/>
  <c r="KX45" i="5"/>
  <c r="KY45" i="5"/>
  <c r="KZ45" i="5"/>
  <c r="LA45" i="5"/>
  <c r="LB45" i="5"/>
  <c r="LC45" i="5"/>
  <c r="LD45" i="5"/>
  <c r="LE45" i="5"/>
  <c r="LF45" i="5"/>
  <c r="LG45" i="5"/>
  <c r="LH45" i="5"/>
  <c r="LI45" i="5"/>
  <c r="LJ45" i="5"/>
  <c r="LK45" i="5"/>
  <c r="LL45" i="5"/>
  <c r="LM45" i="5"/>
  <c r="LN45" i="5"/>
  <c r="LO45" i="5"/>
  <c r="LP45" i="5"/>
  <c r="LQ45" i="5"/>
  <c r="LR45" i="5"/>
  <c r="LS45" i="5"/>
  <c r="LT45" i="5"/>
  <c r="LU45" i="5"/>
  <c r="LV45" i="5"/>
  <c r="LW45" i="5"/>
  <c r="LX45" i="5"/>
  <c r="LY45" i="5"/>
  <c r="LZ45" i="5"/>
  <c r="MA45" i="5"/>
  <c r="MB45" i="5"/>
  <c r="MC45" i="5"/>
  <c r="MD45" i="5"/>
  <c r="ME45" i="5"/>
  <c r="MF45" i="5"/>
  <c r="MG45" i="5"/>
  <c r="AU46" i="5"/>
  <c r="AV46" i="5"/>
  <c r="AW46" i="5"/>
  <c r="AX46" i="5"/>
  <c r="AY46" i="5"/>
  <c r="AZ46" i="5"/>
  <c r="BA46" i="5"/>
  <c r="BB46" i="5"/>
  <c r="BC46" i="5"/>
  <c r="BD46" i="5"/>
  <c r="BE46" i="5"/>
  <c r="BF46" i="5"/>
  <c r="BG46" i="5"/>
  <c r="BH46" i="5"/>
  <c r="BI46" i="5"/>
  <c r="BJ46" i="5"/>
  <c r="BK46" i="5"/>
  <c r="BL46" i="5"/>
  <c r="BM46" i="5"/>
  <c r="BN46" i="5"/>
  <c r="BO46" i="5"/>
  <c r="BP46" i="5"/>
  <c r="BQ46" i="5"/>
  <c r="BR46" i="5"/>
  <c r="BS46" i="5"/>
  <c r="BT46" i="5"/>
  <c r="BU46" i="5"/>
  <c r="BV46" i="5"/>
  <c r="BW46" i="5"/>
  <c r="BX46" i="5"/>
  <c r="BY46" i="5"/>
  <c r="BZ46" i="5"/>
  <c r="CA46" i="5"/>
  <c r="CB46" i="5"/>
  <c r="CC46" i="5"/>
  <c r="CD46" i="5"/>
  <c r="CE46" i="5"/>
  <c r="CF46" i="5"/>
  <c r="CG46" i="5"/>
  <c r="CH46" i="5"/>
  <c r="CI46" i="5"/>
  <c r="CJ46" i="5"/>
  <c r="CK46" i="5"/>
  <c r="CL46" i="5"/>
  <c r="CM46" i="5"/>
  <c r="CN46" i="5"/>
  <c r="CO46" i="5"/>
  <c r="CP46" i="5"/>
  <c r="CQ46" i="5"/>
  <c r="CR46" i="5"/>
  <c r="CS46" i="5"/>
  <c r="CT46" i="5"/>
  <c r="CU46" i="5"/>
  <c r="CV46" i="5"/>
  <c r="CW46" i="5"/>
  <c r="CX46" i="5"/>
  <c r="CY46" i="5"/>
  <c r="CZ46" i="5"/>
  <c r="DA46" i="5"/>
  <c r="DB46" i="5"/>
  <c r="DC46" i="5"/>
  <c r="DD46" i="5"/>
  <c r="DE46" i="5"/>
  <c r="DF46" i="5"/>
  <c r="DG46" i="5"/>
  <c r="DH46" i="5"/>
  <c r="DI46" i="5"/>
  <c r="DJ46" i="5"/>
  <c r="DK46" i="5"/>
  <c r="DL46" i="5"/>
  <c r="DM46" i="5"/>
  <c r="DN46" i="5"/>
  <c r="DO46" i="5"/>
  <c r="DP46" i="5"/>
  <c r="DQ46" i="5"/>
  <c r="DR46" i="5"/>
  <c r="DS46" i="5"/>
  <c r="DT46" i="5"/>
  <c r="DU46" i="5"/>
  <c r="DV46" i="5"/>
  <c r="DW46" i="5"/>
  <c r="DX46" i="5"/>
  <c r="DY46" i="5"/>
  <c r="DZ46" i="5"/>
  <c r="EA46" i="5"/>
  <c r="EB46" i="5"/>
  <c r="EC46" i="5"/>
  <c r="ED46" i="5"/>
  <c r="EE46" i="5"/>
  <c r="EF46" i="5"/>
  <c r="EG46" i="5"/>
  <c r="EH46" i="5"/>
  <c r="EI46" i="5"/>
  <c r="EJ46" i="5"/>
  <c r="EK46" i="5"/>
  <c r="EL46" i="5"/>
  <c r="EM46" i="5"/>
  <c r="EN46" i="5"/>
  <c r="EO46" i="5"/>
  <c r="EP46" i="5"/>
  <c r="EQ46" i="5"/>
  <c r="ER46" i="5"/>
  <c r="ES46" i="5"/>
  <c r="ET46" i="5"/>
  <c r="EU46" i="5"/>
  <c r="EV46" i="5"/>
  <c r="EW46" i="5"/>
  <c r="EX46" i="5"/>
  <c r="EY46" i="5"/>
  <c r="EZ46" i="5"/>
  <c r="FA46" i="5"/>
  <c r="FB46" i="5"/>
  <c r="FC46" i="5"/>
  <c r="FD46" i="5"/>
  <c r="FE46" i="5"/>
  <c r="FF46" i="5"/>
  <c r="FG46" i="5"/>
  <c r="FH46" i="5"/>
  <c r="FI46" i="5"/>
  <c r="FJ46" i="5"/>
  <c r="FK46" i="5"/>
  <c r="FL46" i="5"/>
  <c r="FM46" i="5"/>
  <c r="FN46" i="5"/>
  <c r="FO46" i="5"/>
  <c r="FP46" i="5"/>
  <c r="FQ46" i="5"/>
  <c r="FR46" i="5"/>
  <c r="FS46" i="5"/>
  <c r="FT46" i="5"/>
  <c r="FU46" i="5"/>
  <c r="FV46" i="5"/>
  <c r="FW46" i="5"/>
  <c r="FX46" i="5"/>
  <c r="FY46" i="5"/>
  <c r="FZ46" i="5"/>
  <c r="GA46" i="5"/>
  <c r="GB46" i="5"/>
  <c r="GC46" i="5"/>
  <c r="GD46" i="5"/>
  <c r="GE46" i="5"/>
  <c r="GF46" i="5"/>
  <c r="GG46" i="5"/>
  <c r="GH46" i="5"/>
  <c r="GI46" i="5"/>
  <c r="GJ46" i="5"/>
  <c r="GK46" i="5"/>
  <c r="GL46" i="5"/>
  <c r="GM46" i="5"/>
  <c r="GN46" i="5"/>
  <c r="GO46" i="5"/>
  <c r="GP46" i="5"/>
  <c r="GQ46" i="5"/>
  <c r="GR46" i="5"/>
  <c r="GS46" i="5"/>
  <c r="GT46" i="5"/>
  <c r="GU46" i="5"/>
  <c r="GV46" i="5"/>
  <c r="GW46" i="5"/>
  <c r="GX46" i="5"/>
  <c r="GY46" i="5"/>
  <c r="GZ46" i="5"/>
  <c r="HA46" i="5"/>
  <c r="HB46" i="5"/>
  <c r="HC46" i="5"/>
  <c r="HD46" i="5"/>
  <c r="HE46" i="5"/>
  <c r="HF46" i="5"/>
  <c r="HG46" i="5"/>
  <c r="HH46" i="5"/>
  <c r="HI46" i="5"/>
  <c r="HJ46" i="5"/>
  <c r="HK46" i="5"/>
  <c r="HL46" i="5"/>
  <c r="HM46" i="5"/>
  <c r="HN46" i="5"/>
  <c r="HO46" i="5"/>
  <c r="HP46" i="5"/>
  <c r="HQ46" i="5"/>
  <c r="HR46" i="5"/>
  <c r="HS46" i="5"/>
  <c r="HT46" i="5"/>
  <c r="HU46" i="5"/>
  <c r="HV46" i="5"/>
  <c r="HW46" i="5"/>
  <c r="HX46" i="5"/>
  <c r="HY46" i="5"/>
  <c r="HZ46" i="5"/>
  <c r="IA46" i="5"/>
  <c r="IB46" i="5"/>
  <c r="IC46" i="5"/>
  <c r="ID46" i="5"/>
  <c r="IE46" i="5"/>
  <c r="IF46" i="5"/>
  <c r="IG46" i="5"/>
  <c r="IH46" i="5"/>
  <c r="II46" i="5"/>
  <c r="IJ46" i="5"/>
  <c r="IK46" i="5"/>
  <c r="IL46" i="5"/>
  <c r="IM46" i="5"/>
  <c r="IN46" i="5"/>
  <c r="IO46" i="5"/>
  <c r="IP46" i="5"/>
  <c r="IQ46" i="5"/>
  <c r="IR46" i="5"/>
  <c r="IS46" i="5"/>
  <c r="IT46" i="5"/>
  <c r="IU46" i="5"/>
  <c r="IV46" i="5"/>
  <c r="IW46" i="5"/>
  <c r="IX46" i="5"/>
  <c r="IY46" i="5"/>
  <c r="IZ46" i="5"/>
  <c r="JA46" i="5"/>
  <c r="JB46" i="5"/>
  <c r="JC46" i="5"/>
  <c r="JD46" i="5"/>
  <c r="JE46" i="5"/>
  <c r="JF46" i="5"/>
  <c r="JG46" i="5"/>
  <c r="JH46" i="5"/>
  <c r="JI46" i="5"/>
  <c r="JJ46" i="5"/>
  <c r="JK46" i="5"/>
  <c r="JL46" i="5"/>
  <c r="JM46" i="5"/>
  <c r="JN46" i="5"/>
  <c r="JO46" i="5"/>
  <c r="JP46" i="5"/>
  <c r="JQ46" i="5"/>
  <c r="JR46" i="5"/>
  <c r="JS46" i="5"/>
  <c r="JT46" i="5"/>
  <c r="JU46" i="5"/>
  <c r="JV46" i="5"/>
  <c r="JW46" i="5"/>
  <c r="JX46" i="5"/>
  <c r="JY46" i="5"/>
  <c r="JZ46" i="5"/>
  <c r="KA46" i="5"/>
  <c r="KB46" i="5"/>
  <c r="KC46" i="5"/>
  <c r="KD46" i="5"/>
  <c r="KE46" i="5"/>
  <c r="KF46" i="5"/>
  <c r="KG46" i="5"/>
  <c r="KH46" i="5"/>
  <c r="KI46" i="5"/>
  <c r="KJ46" i="5"/>
  <c r="KK46" i="5"/>
  <c r="KL46" i="5"/>
  <c r="KM46" i="5"/>
  <c r="KN46" i="5"/>
  <c r="KO46" i="5"/>
  <c r="KP46" i="5"/>
  <c r="KQ46" i="5"/>
  <c r="KR46" i="5"/>
  <c r="KS46" i="5"/>
  <c r="KT46" i="5"/>
  <c r="KU46" i="5"/>
  <c r="KV46" i="5"/>
  <c r="KW46" i="5"/>
  <c r="KX46" i="5"/>
  <c r="KY46" i="5"/>
  <c r="KZ46" i="5"/>
  <c r="LA46" i="5"/>
  <c r="LB46" i="5"/>
  <c r="LC46" i="5"/>
  <c r="LD46" i="5"/>
  <c r="LE46" i="5"/>
  <c r="LF46" i="5"/>
  <c r="LG46" i="5"/>
  <c r="LH46" i="5"/>
  <c r="LI46" i="5"/>
  <c r="LJ46" i="5"/>
  <c r="LK46" i="5"/>
  <c r="LL46" i="5"/>
  <c r="LM46" i="5"/>
  <c r="LN46" i="5"/>
  <c r="LO46" i="5"/>
  <c r="LP46" i="5"/>
  <c r="LQ46" i="5"/>
  <c r="LR46" i="5"/>
  <c r="LS46" i="5"/>
  <c r="LT46" i="5"/>
  <c r="LU46" i="5"/>
  <c r="LV46" i="5"/>
  <c r="LW46" i="5"/>
  <c r="LX46" i="5"/>
  <c r="LY46" i="5"/>
  <c r="LZ46" i="5"/>
  <c r="MA46" i="5"/>
  <c r="MB46" i="5"/>
  <c r="MC46" i="5"/>
  <c r="MD46" i="5"/>
  <c r="ME46" i="5"/>
  <c r="MF46" i="5"/>
  <c r="MG46" i="5"/>
  <c r="AT23" i="5"/>
  <c r="AT24" i="5"/>
  <c r="AT25" i="5"/>
  <c r="AT26" i="5"/>
  <c r="AT27" i="5"/>
  <c r="AT28" i="5"/>
  <c r="AT29" i="5"/>
  <c r="AT30" i="5"/>
  <c r="AT31" i="5"/>
  <c r="AT32" i="5"/>
  <c r="AT33" i="5"/>
  <c r="AT34" i="5"/>
  <c r="AT35" i="5"/>
  <c r="AT36" i="5"/>
  <c r="AT37" i="5"/>
  <c r="AT38" i="5"/>
  <c r="AT39" i="5"/>
  <c r="AT40" i="5"/>
  <c r="AT41" i="5"/>
  <c r="AT42" i="5"/>
  <c r="AT43" i="5"/>
  <c r="AT44" i="5"/>
  <c r="AT45" i="5"/>
  <c r="AT46" i="5"/>
  <c r="AT22" i="5"/>
  <c r="AS46" i="5"/>
  <c r="AS45" i="5"/>
  <c r="AS44" i="5"/>
  <c r="AS43" i="5"/>
  <c r="AS42" i="5"/>
  <c r="AS41" i="5"/>
  <c r="AS40" i="5"/>
  <c r="AS39" i="5"/>
  <c r="AS38" i="5"/>
  <c r="AS37" i="5"/>
  <c r="AS36" i="5"/>
  <c r="AS35" i="5"/>
  <c r="AB35" i="5" s="1"/>
  <c r="AS34" i="5"/>
  <c r="AB34" i="5" s="1"/>
  <c r="AS33" i="5"/>
  <c r="AB33" i="5" s="1"/>
  <c r="AS32" i="5"/>
  <c r="AB32" i="5" s="1"/>
  <c r="AS31" i="5"/>
  <c r="AS30" i="5"/>
  <c r="AB30" i="5" s="1"/>
  <c r="AS29" i="5"/>
  <c r="AB29" i="5" s="1"/>
  <c r="AS28" i="5"/>
  <c r="AB28" i="5" s="1"/>
  <c r="AS27" i="5"/>
  <c r="AS26" i="5"/>
  <c r="AB26" i="5" s="1"/>
  <c r="AS25" i="5"/>
  <c r="AB25" i="5" s="1"/>
  <c r="AS24" i="5"/>
  <c r="AB24" i="5" s="1"/>
  <c r="AS23" i="5"/>
  <c r="AS22" i="5"/>
  <c r="AB22" i="5" s="1"/>
  <c r="AR22" i="5"/>
  <c r="Z22" i="5" s="1"/>
  <c r="AB36" i="5" l="1"/>
  <c r="AR39" i="5"/>
  <c r="Z39" i="5" s="1"/>
  <c r="AB39" i="5"/>
  <c r="AR43" i="5"/>
  <c r="Z43" i="5" s="1"/>
  <c r="AB43" i="5"/>
  <c r="AB37" i="5"/>
  <c r="AR45" i="5"/>
  <c r="Z45" i="5" s="1"/>
  <c r="AB45" i="5"/>
  <c r="AR40" i="5"/>
  <c r="Z40" i="5" s="1"/>
  <c r="AB40" i="5"/>
  <c r="AR44" i="5"/>
  <c r="Z44" i="5" s="1"/>
  <c r="AB44" i="5"/>
  <c r="AR41" i="5"/>
  <c r="Z41" i="5" s="1"/>
  <c r="AB41" i="5"/>
  <c r="AR38" i="5"/>
  <c r="Z38" i="5" s="1"/>
  <c r="AB38" i="5"/>
  <c r="AR42" i="5"/>
  <c r="Z42" i="5" s="1"/>
  <c r="AB42" i="5"/>
  <c r="AR46" i="5"/>
  <c r="Z46" i="5" s="1"/>
  <c r="AB46" i="5"/>
  <c r="Y22" i="5"/>
  <c r="AA22" i="5" s="1"/>
  <c r="W22" i="5" s="1"/>
  <c r="AE24" i="5"/>
  <c r="AE32" i="5"/>
  <c r="AE28" i="5"/>
  <c r="AE36" i="5"/>
  <c r="AE27" i="5"/>
  <c r="AE31" i="5"/>
  <c r="AE26" i="5"/>
  <c r="AE22" i="5"/>
  <c r="AE35" i="5"/>
  <c r="AE23" i="5"/>
  <c r="AE34" i="5"/>
  <c r="AE30" i="5"/>
  <c r="AE37" i="5"/>
  <c r="AE33" i="5"/>
  <c r="AE29" i="5"/>
  <c r="AE25" i="5"/>
  <c r="AE40" i="5"/>
  <c r="AE43" i="5"/>
  <c r="AE39" i="5"/>
  <c r="AE38" i="5"/>
  <c r="AR23" i="5"/>
  <c r="AR24" i="5" s="1"/>
  <c r="Z24" i="5" s="1"/>
  <c r="Y24" i="5" s="1"/>
  <c r="AA24" i="5" s="1"/>
  <c r="AE41" i="5"/>
  <c r="AE44" i="5"/>
  <c r="AE42" i="5"/>
  <c r="AE45" i="5"/>
  <c r="AI46" i="5"/>
  <c r="AN44" i="5"/>
  <c r="AL44" i="5"/>
  <c r="AJ44" i="5"/>
  <c r="AH44" i="5"/>
  <c r="AF44" i="5"/>
  <c r="AM42" i="5"/>
  <c r="AK42" i="5"/>
  <c r="AI42" i="5"/>
  <c r="AG42" i="5"/>
  <c r="AN40" i="5"/>
  <c r="AL40" i="5"/>
  <c r="AJ40" i="5"/>
  <c r="AH40" i="5"/>
  <c r="AF40" i="5"/>
  <c r="AM38" i="5"/>
  <c r="AK38" i="5"/>
  <c r="AI38" i="5"/>
  <c r="AG38" i="5"/>
  <c r="AN36" i="5"/>
  <c r="AL36" i="5"/>
  <c r="AJ36" i="5"/>
  <c r="AH36" i="5"/>
  <c r="AF36" i="5"/>
  <c r="AM34" i="5"/>
  <c r="AK34" i="5"/>
  <c r="AI34" i="5"/>
  <c r="AG34" i="5"/>
  <c r="AN32" i="5"/>
  <c r="AL32" i="5"/>
  <c r="AJ32" i="5"/>
  <c r="AH32" i="5"/>
  <c r="AF32" i="5"/>
  <c r="AM30" i="5"/>
  <c r="AK30" i="5"/>
  <c r="AI30" i="5"/>
  <c r="AG30" i="5"/>
  <c r="AN28" i="5"/>
  <c r="AL28" i="5"/>
  <c r="AJ28" i="5"/>
  <c r="AH28" i="5"/>
  <c r="AF28" i="5"/>
  <c r="AM26" i="5"/>
  <c r="AK26" i="5"/>
  <c r="AI26" i="5"/>
  <c r="AG26" i="5"/>
  <c r="AN24" i="5"/>
  <c r="AL24" i="5"/>
  <c r="AJ24" i="5"/>
  <c r="AH24" i="5"/>
  <c r="AF24" i="5"/>
  <c r="AM22" i="5"/>
  <c r="AK22" i="5"/>
  <c r="AI22" i="5"/>
  <c r="AG22" i="5"/>
  <c r="AM46" i="5"/>
  <c r="AK46" i="5"/>
  <c r="AG46" i="5"/>
  <c r="AE46" i="5"/>
  <c r="AN45" i="5"/>
  <c r="AL45" i="5"/>
  <c r="AJ45" i="5"/>
  <c r="AH45" i="5"/>
  <c r="AF45" i="5"/>
  <c r="AM43" i="5"/>
  <c r="AK43" i="5"/>
  <c r="AI43" i="5"/>
  <c r="AG43" i="5"/>
  <c r="AN41" i="5"/>
  <c r="AL41" i="5"/>
  <c r="AJ41" i="5"/>
  <c r="AH41" i="5"/>
  <c r="AF41" i="5"/>
  <c r="AM39" i="5"/>
  <c r="AK39" i="5"/>
  <c r="AI39" i="5"/>
  <c r="AG39" i="5"/>
  <c r="AN37" i="5"/>
  <c r="AL37" i="5"/>
  <c r="AJ37" i="5"/>
  <c r="AH37" i="5"/>
  <c r="AF37" i="5"/>
  <c r="AM35" i="5"/>
  <c r="AK35" i="5"/>
  <c r="AI35" i="5"/>
  <c r="AG35" i="5"/>
  <c r="AN33" i="5"/>
  <c r="AL33" i="5"/>
  <c r="AJ33" i="5"/>
  <c r="AH33" i="5"/>
  <c r="AF33" i="5"/>
  <c r="AM31" i="5"/>
  <c r="AK31" i="5"/>
  <c r="AI31" i="5"/>
  <c r="AG31" i="5"/>
  <c r="AN29" i="5"/>
  <c r="AL29" i="5"/>
  <c r="AJ29" i="5"/>
  <c r="AH29" i="5"/>
  <c r="AF29" i="5"/>
  <c r="AM27" i="5"/>
  <c r="AK27" i="5"/>
  <c r="AI27" i="5"/>
  <c r="AG27" i="5"/>
  <c r="AN25" i="5"/>
  <c r="AL25" i="5"/>
  <c r="AJ25" i="5"/>
  <c r="AH25" i="5"/>
  <c r="AF25" i="5"/>
  <c r="AM23" i="5"/>
  <c r="AK23" i="5"/>
  <c r="AI23" i="5"/>
  <c r="AG23" i="5"/>
  <c r="AN46" i="5"/>
  <c r="AL46" i="5"/>
  <c r="AJ46" i="5"/>
  <c r="AH46" i="5"/>
  <c r="AF46" i="5"/>
  <c r="AM44" i="5"/>
  <c r="AK44" i="5"/>
  <c r="AI44" i="5"/>
  <c r="AG44" i="5"/>
  <c r="AN42" i="5"/>
  <c r="AL42" i="5"/>
  <c r="AJ42" i="5"/>
  <c r="AH42" i="5"/>
  <c r="AF42" i="5"/>
  <c r="AM40" i="5"/>
  <c r="AK40" i="5"/>
  <c r="AI40" i="5"/>
  <c r="AG40" i="5"/>
  <c r="AN38" i="5"/>
  <c r="AL38" i="5"/>
  <c r="AJ38" i="5"/>
  <c r="AH38" i="5"/>
  <c r="AF38" i="5"/>
  <c r="AM36" i="5"/>
  <c r="AK36" i="5"/>
  <c r="AI36" i="5"/>
  <c r="AG36" i="5"/>
  <c r="AN34" i="5"/>
  <c r="AL34" i="5"/>
  <c r="AJ34" i="5"/>
  <c r="AH34" i="5"/>
  <c r="AF34" i="5"/>
  <c r="AM32" i="5"/>
  <c r="AK32" i="5"/>
  <c r="AI32" i="5"/>
  <c r="AG32" i="5"/>
  <c r="AN30" i="5"/>
  <c r="AL30" i="5"/>
  <c r="AJ30" i="5"/>
  <c r="AH30" i="5"/>
  <c r="AF30" i="5"/>
  <c r="AM28" i="5"/>
  <c r="AK28" i="5"/>
  <c r="AI28" i="5"/>
  <c r="AG28" i="5"/>
  <c r="AN26" i="5"/>
  <c r="AL26" i="5"/>
  <c r="AJ26" i="5"/>
  <c r="AH26" i="5"/>
  <c r="AF26" i="5"/>
  <c r="AM24" i="5"/>
  <c r="AK24" i="5"/>
  <c r="AI24" i="5"/>
  <c r="AG24" i="5"/>
  <c r="AN22" i="5"/>
  <c r="AL22" i="5"/>
  <c r="AJ22" i="5"/>
  <c r="AH22" i="5"/>
  <c r="AF22" i="5"/>
  <c r="AM45" i="5"/>
  <c r="AK45" i="5"/>
  <c r="AI45" i="5"/>
  <c r="AG45" i="5"/>
  <c r="AN43" i="5"/>
  <c r="AL43" i="5"/>
  <c r="AJ43" i="5"/>
  <c r="AH43" i="5"/>
  <c r="AF43" i="5"/>
  <c r="AM41" i="5"/>
  <c r="AK41" i="5"/>
  <c r="AI41" i="5"/>
  <c r="AG41" i="5"/>
  <c r="AN39" i="5"/>
  <c r="AL39" i="5"/>
  <c r="AJ39" i="5"/>
  <c r="AH39" i="5"/>
  <c r="AF39" i="5"/>
  <c r="AM37" i="5"/>
  <c r="AK37" i="5"/>
  <c r="AI37" i="5"/>
  <c r="AG37" i="5"/>
  <c r="AN35" i="5"/>
  <c r="AL35" i="5"/>
  <c r="AJ35" i="5"/>
  <c r="AH35" i="5"/>
  <c r="AF35" i="5"/>
  <c r="AM33" i="5"/>
  <c r="AK33" i="5"/>
  <c r="AI33" i="5"/>
  <c r="AG33" i="5"/>
  <c r="AN31" i="5"/>
  <c r="AL31" i="5"/>
  <c r="AJ31" i="5"/>
  <c r="AH31" i="5"/>
  <c r="AF31" i="5"/>
  <c r="AM29" i="5"/>
  <c r="AK29" i="5"/>
  <c r="AI29" i="5"/>
  <c r="AG29" i="5"/>
  <c r="AN27" i="5"/>
  <c r="AL27" i="5"/>
  <c r="AJ27" i="5"/>
  <c r="AH27" i="5"/>
  <c r="AF27" i="5"/>
  <c r="AM25" i="5"/>
  <c r="AK25" i="5"/>
  <c r="AI25" i="5"/>
  <c r="AG25" i="5"/>
  <c r="AN23" i="5"/>
  <c r="AL23" i="5"/>
  <c r="AJ23" i="5"/>
  <c r="AH23" i="5"/>
  <c r="AF23" i="5"/>
  <c r="AB23" i="5"/>
  <c r="AB27" i="5"/>
  <c r="AB31" i="5"/>
  <c r="I2" i="1"/>
  <c r="Y38" i="5" l="1"/>
  <c r="AC38" i="5" s="1"/>
  <c r="X38" i="5" s="1"/>
  <c r="Y45" i="5"/>
  <c r="AA45" i="5" s="1"/>
  <c r="W45" i="5" s="1"/>
  <c r="Y43" i="5"/>
  <c r="AC43" i="5" s="1"/>
  <c r="X43" i="5" s="1"/>
  <c r="Y46" i="5"/>
  <c r="AA46" i="5" s="1"/>
  <c r="W46" i="5" s="1"/>
  <c r="Y44" i="5"/>
  <c r="AA44" i="5" s="1"/>
  <c r="W44" i="5" s="1"/>
  <c r="Y42" i="5"/>
  <c r="Y41" i="5"/>
  <c r="Y40" i="5"/>
  <c r="Y39" i="5"/>
  <c r="AC22" i="5"/>
  <c r="X22" i="5" s="1"/>
  <c r="AC24" i="5"/>
  <c r="X24" i="5" s="1"/>
  <c r="W24" i="5"/>
  <c r="Z23" i="5"/>
  <c r="Y23" i="5" s="1"/>
  <c r="AA23" i="5" s="1"/>
  <c r="AO38" i="5"/>
  <c r="AP38" i="5" s="1"/>
  <c r="V38" i="5" s="1"/>
  <c r="AO46" i="5"/>
  <c r="AP46" i="5" s="1"/>
  <c r="V46" i="5" s="1"/>
  <c r="AO34" i="5"/>
  <c r="AP34" i="5" s="1"/>
  <c r="AO36" i="5"/>
  <c r="AP36" i="5" s="1"/>
  <c r="V36" i="5" s="1"/>
  <c r="AO26" i="5"/>
  <c r="AP26" i="5" s="1"/>
  <c r="AO41" i="5"/>
  <c r="AP41" i="5" s="1"/>
  <c r="V41" i="5" s="1"/>
  <c r="AO42" i="5"/>
  <c r="AP42" i="5" s="1"/>
  <c r="V42" i="5" s="1"/>
  <c r="AO44" i="5"/>
  <c r="AP44" i="5" s="1"/>
  <c r="V44" i="5" s="1"/>
  <c r="AO24" i="5"/>
  <c r="AP24" i="5" s="1"/>
  <c r="AO40" i="5"/>
  <c r="AP40" i="5" s="1"/>
  <c r="V40" i="5" s="1"/>
  <c r="AO29" i="5"/>
  <c r="AP29" i="5" s="1"/>
  <c r="AO31" i="5"/>
  <c r="AP31" i="5" s="1"/>
  <c r="AO45" i="5"/>
  <c r="AP45" i="5" s="1"/>
  <c r="V45" i="5" s="1"/>
  <c r="AO30" i="5"/>
  <c r="AP30" i="5" s="1"/>
  <c r="AO32" i="5"/>
  <c r="AP32" i="5" s="1"/>
  <c r="AO37" i="5"/>
  <c r="AP37" i="5" s="1"/>
  <c r="V37" i="5" s="1"/>
  <c r="AO22" i="5"/>
  <c r="AP22" i="5" s="1"/>
  <c r="AR25" i="5"/>
  <c r="AR26" i="5" s="1"/>
  <c r="AO28" i="5"/>
  <c r="AP28" i="5" s="1"/>
  <c r="AO23" i="5"/>
  <c r="AP23" i="5" s="1"/>
  <c r="V23" i="5" s="1"/>
  <c r="AO39" i="5"/>
  <c r="AP39" i="5" s="1"/>
  <c r="V39" i="5" s="1"/>
  <c r="AO25" i="5"/>
  <c r="AP25" i="5" s="1"/>
  <c r="AO27" i="5"/>
  <c r="AP27" i="5" s="1"/>
  <c r="AO43" i="5"/>
  <c r="AP43" i="5" s="1"/>
  <c r="V43" i="5" s="1"/>
  <c r="AO33" i="5"/>
  <c r="AP33" i="5" s="1"/>
  <c r="AO35" i="5"/>
  <c r="AP35" i="5" s="1"/>
  <c r="V35" i="5" s="1"/>
  <c r="AA38" i="5" l="1"/>
  <c r="W38" i="5" s="1"/>
  <c r="AC44" i="5"/>
  <c r="X44" i="5" s="1"/>
  <c r="AC45" i="5"/>
  <c r="X45" i="5" s="1"/>
  <c r="AA43" i="5"/>
  <c r="W43" i="5" s="1"/>
  <c r="AC46" i="5"/>
  <c r="X46" i="5" s="1"/>
  <c r="Z26" i="5"/>
  <c r="Y26" i="5" s="1"/>
  <c r="AA26" i="5" s="1"/>
  <c r="W26" i="5" s="1"/>
  <c r="AR27" i="5"/>
  <c r="AC40" i="5"/>
  <c r="X40" i="5" s="1"/>
  <c r="AA40" i="5"/>
  <c r="W40" i="5" s="1"/>
  <c r="AC42" i="5"/>
  <c r="X42" i="5" s="1"/>
  <c r="AA42" i="5"/>
  <c r="W42" i="5" s="1"/>
  <c r="AA41" i="5"/>
  <c r="W41" i="5" s="1"/>
  <c r="AC41" i="5"/>
  <c r="X41" i="5" s="1"/>
  <c r="AC39" i="5"/>
  <c r="X39" i="5" s="1"/>
  <c r="AA39" i="5"/>
  <c r="W39" i="5" s="1"/>
  <c r="AC23" i="5"/>
  <c r="X23" i="5" s="1"/>
  <c r="W23" i="5"/>
  <c r="Z25" i="5"/>
  <c r="Y25" i="5" s="1"/>
  <c r="AA25" i="5" s="1"/>
  <c r="V27" i="5"/>
  <c r="V28" i="5"/>
  <c r="V32" i="5"/>
  <c r="V29" i="5"/>
  <c r="V25" i="5"/>
  <c r="V30" i="5"/>
  <c r="V34" i="5"/>
  <c r="V33" i="5"/>
  <c r="V22" i="5"/>
  <c r="V24" i="5"/>
  <c r="V31" i="5"/>
  <c r="V26" i="5"/>
  <c r="AC26" i="5" l="1"/>
  <c r="X26" i="5" s="1"/>
  <c r="AR28" i="5"/>
  <c r="Z27" i="5"/>
  <c r="Y27" i="5" s="1"/>
  <c r="W25" i="5"/>
  <c r="AC25" i="5"/>
  <c r="X25" i="5" s="1"/>
  <c r="AR34" i="5" l="1"/>
  <c r="AA27" i="5"/>
  <c r="W27" i="5" s="1"/>
  <c r="AC27" i="5"/>
  <c r="X27" i="5" s="1"/>
  <c r="Z28" i="5"/>
  <c r="Y28" i="5" s="1"/>
  <c r="AR29" i="5"/>
  <c r="Z34" i="5" l="1"/>
  <c r="Y34" i="5" s="1"/>
  <c r="AC34" i="5" s="1"/>
  <c r="X34" i="5" s="1"/>
  <c r="AR35" i="5"/>
  <c r="Z29" i="5"/>
  <c r="Y29" i="5" s="1"/>
  <c r="AA29" i="5" s="1"/>
  <c r="W29" i="5" s="1"/>
  <c r="AR30" i="5"/>
  <c r="AA28" i="5"/>
  <c r="W28" i="5" s="1"/>
  <c r="AC28" i="5"/>
  <c r="X28" i="5" s="1"/>
  <c r="AA34" i="5" l="1"/>
  <c r="W34" i="5" s="1"/>
  <c r="Z35" i="5"/>
  <c r="Y35" i="5" s="1"/>
  <c r="AR36" i="5"/>
  <c r="Z30" i="5"/>
  <c r="Y30" i="5" s="1"/>
  <c r="AR31" i="5"/>
  <c r="AC29" i="5"/>
  <c r="X29" i="5" s="1"/>
  <c r="Z36" i="5" l="1"/>
  <c r="Y36" i="5" s="1"/>
  <c r="AR37" i="5"/>
  <c r="Z37" i="5" s="1"/>
  <c r="Y37" i="5" s="1"/>
  <c r="AC35" i="5"/>
  <c r="X35" i="5" s="1"/>
  <c r="AA35" i="5"/>
  <c r="W35" i="5" s="1"/>
  <c r="Z31" i="5"/>
  <c r="Y31" i="5" s="1"/>
  <c r="AR32" i="5"/>
  <c r="AA30" i="5"/>
  <c r="W30" i="5" s="1"/>
  <c r="AC30" i="5"/>
  <c r="X30" i="5" s="1"/>
  <c r="Z32" i="5" l="1"/>
  <c r="Y32" i="5" s="1"/>
  <c r="AA32" i="5" s="1"/>
  <c r="W32" i="5" s="1"/>
  <c r="AR33" i="5"/>
  <c r="Z33" i="5" s="1"/>
  <c r="Y33" i="5" s="1"/>
  <c r="AA37" i="5"/>
  <c r="W37" i="5" s="1"/>
  <c r="AC37" i="5"/>
  <c r="X37" i="5" s="1"/>
  <c r="AA36" i="5"/>
  <c r="W36" i="5" s="1"/>
  <c r="AC36" i="5"/>
  <c r="X36" i="5" s="1"/>
  <c r="AA31" i="5"/>
  <c r="W31" i="5" s="1"/>
  <c r="AC31" i="5"/>
  <c r="X31" i="5" s="1"/>
  <c r="AC32" i="5" l="1"/>
  <c r="X32" i="5" s="1"/>
  <c r="AA33" i="5"/>
  <c r="W33" i="5" s="1"/>
  <c r="AC33" i="5"/>
  <c r="X33" i="5" s="1"/>
</calcChain>
</file>

<file path=xl/sharedStrings.xml><?xml version="1.0" encoding="utf-8"?>
<sst xmlns="http://schemas.openxmlformats.org/spreadsheetml/2006/main" count="109" uniqueCount="86">
  <si>
    <t>Risk ID</t>
  </si>
  <si>
    <t xml:space="preserve">Probability </t>
  </si>
  <si>
    <t>Probability (%)</t>
  </si>
  <si>
    <t>Impact</t>
  </si>
  <si>
    <t>Risk Factor</t>
  </si>
  <si>
    <t>RiskID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</si>
  <si>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</si>
  <si>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</si>
  <si>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</si>
  <si>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</si>
  <si>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</si>
  <si>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</si>
  <si>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</si>
  <si>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</si>
  <si>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</si>
  <si>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PROBABILITY</t>
  </si>
  <si>
    <t>Score</t>
  </si>
  <si>
    <t>Description</t>
  </si>
  <si>
    <t>Probability</t>
  </si>
  <si>
    <t>Correspondance to the Risk Matrices</t>
  </si>
  <si>
    <t>%</t>
  </si>
  <si>
    <t>Rare: very small chance of happening</t>
  </si>
  <si>
    <t>Unlikely: small chance of happening</t>
  </si>
  <si>
    <t>Low</t>
  </si>
  <si>
    <t>Medium</t>
  </si>
  <si>
    <t>Likely: Likely to happen</t>
  </si>
  <si>
    <t>Expected: very high chance of happening or even certainty – this will happen</t>
  </si>
  <si>
    <t>High</t>
  </si>
  <si>
    <t>IMPACT</t>
  </si>
  <si>
    <t>Monetary Impact</t>
  </si>
  <si>
    <t>Insignificant</t>
  </si>
  <si>
    <t>Significant</t>
  </si>
  <si>
    <t>Chart Data</t>
  </si>
  <si>
    <t>Label</t>
  </si>
  <si>
    <t>Concatenate strings</t>
  </si>
  <si>
    <t>All</t>
  </si>
  <si>
    <t>Len</t>
  </si>
  <si>
    <t>Count of RiskID</t>
  </si>
  <si>
    <t>NOTES:</t>
  </si>
  <si>
    <r>
      <t xml:space="preserve">- Figures above show the </t>
    </r>
    <r>
      <rPr>
        <u/>
        <sz val="9"/>
        <color theme="1"/>
        <rFont val="Calibri"/>
        <family val="2"/>
        <scheme val="minor"/>
      </rPr>
      <t>total number of identified risks</t>
    </r>
    <r>
      <rPr>
        <sz val="9"/>
        <color theme="1"/>
        <rFont val="Calibri"/>
        <family val="2"/>
        <scheme val="minor"/>
      </rPr>
      <t xml:space="preserve"> per probability and impact score (e.g. P=10 and I=10, P=10 and I=20, and so on)</t>
    </r>
  </si>
  <si>
    <t>(blank)</t>
  </si>
  <si>
    <t>High Potential, Not Likely</t>
  </si>
  <si>
    <t>Less Risky</t>
  </si>
  <si>
    <t>Threatening</t>
  </si>
  <si>
    <t>Likely, Low Potential</t>
  </si>
  <si>
    <t>MONITOR</t>
  </si>
  <si>
    <t>MANAGE</t>
  </si>
  <si>
    <t>MITIGATE</t>
  </si>
  <si>
    <t>MAKE DO</t>
  </si>
  <si>
    <t>Override</t>
  </si>
  <si>
    <t>Position</t>
  </si>
  <si>
    <t>Label position overrides</t>
  </si>
  <si>
    <t>Concat</t>
  </si>
  <si>
    <t>Pillar 2 capital to hold</t>
  </si>
  <si>
    <t>30
High</t>
  </si>
  <si>
    <t>10
Low</t>
  </si>
  <si>
    <t>20
Medium</t>
  </si>
  <si>
    <t>40
Very High</t>
  </si>
  <si>
    <t>LIKELIHOOD</t>
  </si>
  <si>
    <t>Very High</t>
  </si>
  <si>
    <t>Risk Description</t>
  </si>
  <si>
    <t>XSS Injection Used to Hook Web-App Users' Browsers</t>
  </si>
  <si>
    <t>SQL Injection to Dump Web App Database</t>
  </si>
  <si>
    <t>Brute-Force to Login to User Accounts</t>
  </si>
  <si>
    <t>XSS Injection Used to Hook Corporate Intranet Browsers</t>
  </si>
  <si>
    <t>Employee Steals FInancial Data from Physical Server</t>
  </si>
  <si>
    <t>Attacker Impersonates User in Financial Advisor Live Chat</t>
  </si>
  <si>
    <t>Finance Employee Downloads Backdoor Into Corporate Intranet</t>
  </si>
  <si>
    <t>Example</t>
  </si>
  <si>
    <t>Nation-State Attack</t>
  </si>
  <si>
    <t>0-Day due to new attack vector</t>
  </si>
  <si>
    <t>Phishing Attack</t>
  </si>
  <si>
    <t>Web Application Attack</t>
  </si>
  <si>
    <t>&lt; $250k</t>
  </si>
  <si>
    <t>$250-$500k</t>
  </si>
  <si>
    <t>$500k-$1M</t>
  </si>
  <si>
    <t>&lt; $1.1M</t>
  </si>
  <si>
    <r>
      <rPr>
        <b/>
        <sz val="10"/>
        <color rgb="FF000000"/>
        <rFont val="Arial"/>
        <family val="2"/>
      </rPr>
      <t>Minor</t>
    </r>
    <r>
      <rPr>
        <sz val="10"/>
        <color rgb="FF000000"/>
        <rFont val="Arial"/>
        <family val="2"/>
      </rPr>
      <t xml:space="preserve"> impact.</t>
    </r>
    <r>
      <rPr>
        <sz val="10"/>
        <color indexed="8"/>
        <rFont val="Arial"/>
        <family val="2"/>
      </rPr>
      <t xml:space="preserve"> Negligible effect on the business's day-to-day operations and reputation.</t>
    </r>
  </si>
  <si>
    <r>
      <rPr>
        <b/>
        <sz val="10"/>
        <color rgb="FF000000"/>
        <rFont val="Arial"/>
        <family val="2"/>
      </rPr>
      <t>Moderate</t>
    </r>
    <r>
      <rPr>
        <sz val="10"/>
        <color indexed="8"/>
        <rFont val="Arial"/>
        <family val="2"/>
      </rPr>
      <t xml:space="preserve"> impact. The incident will be expensive, but the company has enough cash to cover it. Day-to-day operations may slow, but will still continue. </t>
    </r>
  </si>
  <si>
    <r>
      <rPr>
        <b/>
        <sz val="10"/>
        <color rgb="FF000000"/>
        <rFont val="Arial"/>
        <family val="2"/>
      </rPr>
      <t>High</t>
    </r>
    <r>
      <rPr>
        <sz val="10"/>
        <color indexed="8"/>
        <rFont val="Arial"/>
        <family val="2"/>
      </rPr>
      <t xml:space="preserve"> impact. The company has resources to address the breach, but may have to adjust budgets and project timelines to accommodate. Some day-ot-day operations will halt. </t>
    </r>
  </si>
  <si>
    <r>
      <rPr>
        <b/>
        <sz val="10"/>
        <color rgb="FF000000"/>
        <rFont val="Arial"/>
        <family val="2"/>
      </rPr>
      <t xml:space="preserve">Critical </t>
    </r>
    <r>
      <rPr>
        <sz val="10"/>
        <color indexed="8"/>
        <rFont val="Arial"/>
        <family val="2"/>
      </rPr>
      <t>impact. The company's reputation and income are threatened. Responding to the incident may require the company to take out debt or sell assets. Reputational damage may be severe.</t>
    </r>
  </si>
  <si>
    <t>GeldCorp</t>
  </si>
  <si>
    <t>Internal Risk Rating Guidelines</t>
  </si>
  <si>
    <t>Employee Downloads Backdoor Into Corporate Intranet</t>
  </si>
  <si>
    <t>Engineer Steals Trading Algorithms from Technology Database</t>
  </si>
  <si>
    <t>Likelihood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</si>
</sst>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&quot;R&quot;0"/>
    <numFmt numFmtId="167" formatCode="_-* #,##0_-;\-* #,##0_-;_-* &quot;-&quot;??_-;_-@_-"/>
    <numFmt numFmtId="168" formatCode="_-* #,##0.0_-;\-* #,##0.0_-;_-* &quot;-&quot;??_-;_-@_-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9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8"/>
      <color rgb="FF0000FF"/>
      <name val="Calibri"/>
      <family val="2"/>
      <scheme val="minor"/>
    </font>
    <font>
      <sz val="10"/>
      <name val="Arial"/>
      <family val="2"/>
    </font>
    <font>
      <sz val="10"/>
      <color theme="0"/>
      <name val="Calibri"/>
      <family val="2"/>
      <scheme val="minor"/>
    </font>
    <font>
      <b/>
      <sz val="14"/>
      <color rgb="FF000000"/>
      <name val="Calibri"/>
      <family val="2"/>
    </font>
    <font>
      <b/>
      <sz val="12"/>
      <color theme="1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b/>
      <sz val="8"/>
      <color theme="0"/>
      <name val="Arial"/>
      <family val="2"/>
    </font>
    <font>
      <sz val="8"/>
      <color theme="1"/>
      <name val="Arial"/>
      <family val="2"/>
    </font>
    <font>
      <sz val="10"/>
      <color theme="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6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rgb="FFB1D47F"/>
        <bgColor indexed="64"/>
      </patternFill>
    </fill>
    <fill>
      <patternFill patternType="solid">
        <fgColor rgb="FFFA8F73"/>
        <bgColor indexed="64"/>
      </patternFill>
    </fill>
    <fill>
      <patternFill patternType="solid">
        <fgColor rgb="FFFCB47A"/>
        <bgColor indexed="64"/>
      </patternFill>
    </fill>
    <fill>
      <patternFill patternType="solid">
        <fgColor rgb="FFFFEB84"/>
        <bgColor indexed="64"/>
      </patternFill>
    </fill>
    <fill>
      <patternFill patternType="solid">
        <fgColor theme="0" tint="-0.24994659260841701"/>
        <bgColor indexed="64"/>
      </patternFill>
    </fill>
  </fills>
  <borders count="4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theme="0" tint="-0.14996795556505021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/>
      <top/>
      <bottom/>
      <diagonal/>
    </border>
    <border>
      <left/>
      <right style="thin">
        <color rgb="FF999999"/>
      </right>
      <top/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/>
      <bottom style="thin">
        <color rgb="FF999999"/>
      </bottom>
      <diagonal/>
    </border>
    <border>
      <left/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4" fillId="0" borderId="0"/>
    <xf numFmtId="165" fontId="1" fillId="0" borderId="0" applyFont="0" applyFill="0" applyBorder="0" applyAlignment="0" applyProtection="0"/>
    <xf numFmtId="0" fontId="15" fillId="0" borderId="0"/>
  </cellStyleXfs>
  <cellXfs count="152">
    <xf numFmtId="0" fontId="0" fillId="0" borderId="0" xfId="0"/>
    <xf numFmtId="0" fontId="5" fillId="0" borderId="0" xfId="0" applyFont="1"/>
    <xf numFmtId="0" fontId="6" fillId="0" borderId="0" xfId="0" applyFont="1"/>
    <xf numFmtId="0" fontId="7" fillId="5" borderId="8" xfId="0" applyFont="1" applyFill="1" applyBorder="1"/>
    <xf numFmtId="166" fontId="7" fillId="5" borderId="9" xfId="0" applyNumberFormat="1" applyFont="1" applyFill="1" applyBorder="1"/>
    <xf numFmtId="0" fontId="7" fillId="6" borderId="0" xfId="0" applyFont="1" applyFill="1"/>
    <xf numFmtId="0" fontId="8" fillId="6" borderId="0" xfId="0" applyFont="1" applyFill="1"/>
    <xf numFmtId="166" fontId="7" fillId="6" borderId="0" xfId="0" applyNumberFormat="1" applyFont="1" applyFill="1"/>
    <xf numFmtId="0" fontId="6" fillId="7" borderId="10" xfId="0" applyFont="1" applyFill="1" applyBorder="1"/>
    <xf numFmtId="0" fontId="6" fillId="8" borderId="4" xfId="0" applyFont="1" applyFill="1" applyBorder="1"/>
    <xf numFmtId="0" fontId="6" fillId="9" borderId="4" xfId="0" applyFont="1" applyFill="1" applyBorder="1"/>
    <xf numFmtId="0" fontId="6" fillId="7" borderId="4" xfId="0" applyFont="1" applyFill="1" applyBorder="1"/>
    <xf numFmtId="1" fontId="6" fillId="0" borderId="4" xfId="0" applyNumberFormat="1" applyFont="1" applyBorder="1"/>
    <xf numFmtId="0" fontId="6" fillId="0" borderId="4" xfId="0" applyFont="1" applyBorder="1"/>
    <xf numFmtId="0" fontId="6" fillId="7" borderId="12" xfId="0" applyFont="1" applyFill="1" applyBorder="1"/>
    <xf numFmtId="1" fontId="6" fillId="0" borderId="0" xfId="0" applyNumberFormat="1" applyFont="1"/>
    <xf numFmtId="0" fontId="6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0" fillId="4" borderId="0" xfId="0" applyFill="1"/>
    <xf numFmtId="0" fontId="9" fillId="4" borderId="0" xfId="0" applyFont="1" applyFill="1"/>
    <xf numFmtId="0" fontId="10" fillId="4" borderId="0" xfId="0" quotePrefix="1" applyFont="1" applyFill="1"/>
    <xf numFmtId="0" fontId="0" fillId="4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3" fillId="0" borderId="0" xfId="0" applyFont="1" applyAlignment="1">
      <alignment horizontal="right"/>
    </xf>
    <xf numFmtId="0" fontId="6" fillId="7" borderId="8" xfId="0" applyFont="1" applyFill="1" applyBorder="1"/>
    <xf numFmtId="0" fontId="6" fillId="7" borderId="0" xfId="0" applyFont="1" applyFill="1"/>
    <xf numFmtId="0" fontId="6" fillId="7" borderId="15" xfId="0" applyFont="1" applyFill="1" applyBorder="1"/>
    <xf numFmtId="0" fontId="6" fillId="7" borderId="16" xfId="0" applyFont="1" applyFill="1" applyBorder="1"/>
    <xf numFmtId="0" fontId="6" fillId="7" borderId="17" xfId="0" applyFont="1" applyFill="1" applyBorder="1"/>
    <xf numFmtId="0" fontId="6" fillId="7" borderId="14" xfId="0" applyFont="1" applyFill="1" applyBorder="1"/>
    <xf numFmtId="0" fontId="6" fillId="7" borderId="3" xfId="0" applyFont="1" applyFill="1" applyBorder="1"/>
    <xf numFmtId="166" fontId="8" fillId="5" borderId="9" xfId="0" applyNumberFormat="1" applyFont="1" applyFill="1" applyBorder="1" applyAlignment="1">
      <alignment textRotation="90"/>
    </xf>
    <xf numFmtId="0" fontId="6" fillId="4" borderId="0" xfId="0" applyFont="1" applyFill="1"/>
    <xf numFmtId="167" fontId="6" fillId="7" borderId="8" xfId="4" applyNumberFormat="1" applyFont="1" applyFill="1" applyBorder="1"/>
    <xf numFmtId="167" fontId="6" fillId="7" borderId="9" xfId="4" applyNumberFormat="1" applyFont="1" applyFill="1" applyBorder="1"/>
    <xf numFmtId="167" fontId="8" fillId="12" borderId="8" xfId="4" applyNumberFormat="1" applyFont="1" applyFill="1" applyBorder="1"/>
    <xf numFmtId="167" fontId="8" fillId="12" borderId="9" xfId="4" applyNumberFormat="1" applyFont="1" applyFill="1" applyBorder="1"/>
    <xf numFmtId="167" fontId="6" fillId="7" borderId="10" xfId="4" applyNumberFormat="1" applyFont="1" applyFill="1" applyBorder="1"/>
    <xf numFmtId="167" fontId="6" fillId="7" borderId="11" xfId="4" applyNumberFormat="1" applyFont="1" applyFill="1" applyBorder="1"/>
    <xf numFmtId="167" fontId="8" fillId="12" borderId="10" xfId="4" applyNumberFormat="1" applyFont="1" applyFill="1" applyBorder="1"/>
    <xf numFmtId="167" fontId="8" fillId="12" borderId="11" xfId="4" applyNumberFormat="1" applyFont="1" applyFill="1" applyBorder="1"/>
    <xf numFmtId="167" fontId="14" fillId="11" borderId="11" xfId="4" applyNumberFormat="1" applyFont="1" applyFill="1" applyBorder="1"/>
    <xf numFmtId="167" fontId="6" fillId="7" borderId="13" xfId="4" applyNumberFormat="1" applyFont="1" applyFill="1" applyBorder="1"/>
    <xf numFmtId="167" fontId="8" fillId="12" borderId="13" xfId="4" applyNumberFormat="1" applyFont="1" applyFill="1" applyBorder="1"/>
    <xf numFmtId="167" fontId="14" fillId="11" borderId="13" xfId="4" applyNumberFormat="1" applyFont="1" applyFill="1" applyBorder="1"/>
    <xf numFmtId="167" fontId="6" fillId="0" borderId="0" xfId="0" applyNumberFormat="1" applyFont="1"/>
    <xf numFmtId="167" fontId="6" fillId="0" borderId="14" xfId="0" applyNumberFormat="1" applyFont="1" applyBorder="1"/>
    <xf numFmtId="167" fontId="6" fillId="0" borderId="3" xfId="0" applyNumberFormat="1" applyFont="1" applyBorder="1"/>
    <xf numFmtId="167" fontId="14" fillId="12" borderId="9" xfId="4" applyNumberFormat="1" applyFont="1" applyFill="1" applyBorder="1"/>
    <xf numFmtId="167" fontId="14" fillId="12" borderId="11" xfId="4" applyNumberFormat="1" applyFont="1" applyFill="1" applyBorder="1"/>
    <xf numFmtId="167" fontId="14" fillId="12" borderId="13" xfId="4" applyNumberFormat="1" applyFont="1" applyFill="1" applyBorder="1"/>
    <xf numFmtId="168" fontId="14" fillId="11" borderId="11" xfId="4" applyNumberFormat="1" applyFont="1" applyFill="1" applyBorder="1"/>
    <xf numFmtId="168" fontId="14" fillId="11" borderId="9" xfId="4" applyNumberFormat="1" applyFont="1" applyFill="1" applyBorder="1"/>
    <xf numFmtId="168" fontId="14" fillId="11" borderId="13" xfId="4" applyNumberFormat="1" applyFont="1" applyFill="1" applyBorder="1"/>
    <xf numFmtId="167" fontId="14" fillId="12" borderId="8" xfId="4" applyNumberFormat="1" applyFont="1" applyFill="1" applyBorder="1"/>
    <xf numFmtId="167" fontId="14" fillId="12" borderId="10" xfId="4" applyNumberFormat="1" applyFont="1" applyFill="1" applyBorder="1"/>
    <xf numFmtId="166" fontId="7" fillId="5" borderId="8" xfId="0" applyNumberFormat="1" applyFont="1" applyFill="1" applyBorder="1"/>
    <xf numFmtId="166" fontId="7" fillId="5" borderId="15" xfId="0" applyNumberFormat="1" applyFont="1" applyFill="1" applyBorder="1"/>
    <xf numFmtId="0" fontId="7" fillId="6" borderId="12" xfId="0" applyFont="1" applyFill="1" applyBorder="1"/>
    <xf numFmtId="0" fontId="7" fillId="6" borderId="17" xfId="0" applyFont="1" applyFill="1" applyBorder="1"/>
    <xf numFmtId="0" fontId="6" fillId="7" borderId="8" xfId="0" applyFont="1" applyFill="1" applyBorder="1" applyAlignment="1">
      <alignment horizontal="left"/>
    </xf>
    <xf numFmtId="0" fontId="6" fillId="7" borderId="10" xfId="0" applyFont="1" applyFill="1" applyBorder="1" applyAlignment="1">
      <alignment horizontal="left"/>
    </xf>
    <xf numFmtId="0" fontId="6" fillId="7" borderId="12" xfId="0" applyFont="1" applyFill="1" applyBorder="1" applyAlignment="1">
      <alignment horizontal="left"/>
    </xf>
    <xf numFmtId="0" fontId="5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0" fillId="4" borderId="0" xfId="0" applyFill="1" applyAlignment="1">
      <alignment horizontal="left"/>
    </xf>
    <xf numFmtId="0" fontId="0" fillId="4" borderId="18" xfId="0" applyFill="1" applyBorder="1"/>
    <xf numFmtId="0" fontId="0" fillId="4" borderId="19" xfId="0" applyFill="1" applyBorder="1"/>
    <xf numFmtId="0" fontId="0" fillId="4" borderId="19" xfId="0" applyFill="1" applyBorder="1" applyAlignment="1">
      <alignment horizontal="left"/>
    </xf>
    <xf numFmtId="0" fontId="0" fillId="4" borderId="21" xfId="0" applyFill="1" applyBorder="1"/>
    <xf numFmtId="0" fontId="3" fillId="4" borderId="0" xfId="0" applyFont="1" applyFill="1"/>
    <xf numFmtId="0" fontId="3" fillId="4" borderId="0" xfId="0" applyFont="1" applyFill="1" applyAlignment="1">
      <alignment horizontal="left"/>
    </xf>
    <xf numFmtId="0" fontId="16" fillId="13" borderId="0" xfId="2" applyFont="1" applyFill="1" applyAlignment="1">
      <alignment horizontal="center" vertical="center" wrapText="1"/>
    </xf>
    <xf numFmtId="0" fontId="16" fillId="13" borderId="22" xfId="2" applyFont="1" applyFill="1" applyBorder="1" applyAlignment="1">
      <alignment horizontal="center" vertical="center" wrapText="1"/>
    </xf>
    <xf numFmtId="0" fontId="16" fillId="13" borderId="0" xfId="2" applyFont="1" applyFill="1" applyAlignment="1">
      <alignment horizontal="left" vertical="center" wrapText="1"/>
    </xf>
    <xf numFmtId="3" fontId="0" fillId="15" borderId="0" xfId="0" applyNumberFormat="1" applyFill="1" applyAlignment="1">
      <alignment horizontal="center" vertical="center"/>
    </xf>
    <xf numFmtId="3" fontId="0" fillId="16" borderId="0" xfId="0" applyNumberFormat="1" applyFill="1" applyAlignment="1">
      <alignment horizontal="center" vertical="center"/>
    </xf>
    <xf numFmtId="3" fontId="0" fillId="19" borderId="0" xfId="0" applyNumberFormat="1" applyFill="1" applyAlignment="1">
      <alignment horizontal="center" vertical="center"/>
    </xf>
    <xf numFmtId="3" fontId="0" fillId="18" borderId="22" xfId="0" applyNumberFormat="1" applyFill="1" applyBorder="1" applyAlignment="1">
      <alignment horizontal="center" vertical="center"/>
    </xf>
    <xf numFmtId="3" fontId="0" fillId="18" borderId="0" xfId="0" applyNumberFormat="1" applyFill="1" applyAlignment="1">
      <alignment horizontal="center" vertical="center"/>
    </xf>
    <xf numFmtId="3" fontId="0" fillId="17" borderId="22" xfId="0" applyNumberFormat="1" applyFill="1" applyBorder="1" applyAlignment="1">
      <alignment horizontal="center" vertical="center"/>
    </xf>
    <xf numFmtId="3" fontId="0" fillId="17" borderId="0" xfId="0" applyNumberFormat="1" applyFill="1" applyAlignment="1">
      <alignment horizontal="center" vertical="center"/>
    </xf>
    <xf numFmtId="3" fontId="0" fillId="14" borderId="22" xfId="0" applyNumberFormat="1" applyFill="1" applyBorder="1" applyAlignment="1">
      <alignment horizontal="center" vertical="center"/>
    </xf>
    <xf numFmtId="0" fontId="16" fillId="13" borderId="24" xfId="2" applyFont="1" applyFill="1" applyBorder="1" applyAlignment="1">
      <alignment horizontal="center" vertical="center" wrapText="1"/>
    </xf>
    <xf numFmtId="0" fontId="16" fillId="13" borderId="24" xfId="2" applyFont="1" applyFill="1" applyBorder="1" applyAlignment="1">
      <alignment horizontal="left" vertical="center" wrapText="1"/>
    </xf>
    <xf numFmtId="3" fontId="0" fillId="18" borderId="24" xfId="0" applyNumberFormat="1" applyFill="1" applyBorder="1" applyAlignment="1">
      <alignment horizontal="center" vertical="center"/>
    </xf>
    <xf numFmtId="3" fontId="0" fillId="17" borderId="24" xfId="0" applyNumberFormat="1" applyFill="1" applyBorder="1" applyAlignment="1">
      <alignment horizontal="center" vertical="center"/>
    </xf>
    <xf numFmtId="3" fontId="0" fillId="14" borderId="24" xfId="0" applyNumberFormat="1" applyFill="1" applyBorder="1" applyAlignment="1">
      <alignment horizontal="center" vertical="center"/>
    </xf>
    <xf numFmtId="3" fontId="0" fillId="14" borderId="25" xfId="0" applyNumberFormat="1" applyFill="1" applyBorder="1" applyAlignment="1">
      <alignment horizontal="center" vertical="center"/>
    </xf>
    <xf numFmtId="0" fontId="19" fillId="4" borderId="0" xfId="3" applyFont="1" applyFill="1" applyAlignment="1" applyProtection="1">
      <alignment horizontal="left"/>
      <protection locked="0"/>
    </xf>
    <xf numFmtId="0" fontId="4" fillId="4" borderId="0" xfId="3" applyFill="1" applyAlignment="1">
      <alignment horizontal="center"/>
    </xf>
    <xf numFmtId="0" fontId="4" fillId="4" borderId="0" xfId="3" applyFill="1"/>
    <xf numFmtId="0" fontId="20" fillId="4" borderId="0" xfId="3" applyFont="1" applyFill="1" applyAlignment="1" applyProtection="1">
      <alignment horizontal="left"/>
      <protection locked="0"/>
    </xf>
    <xf numFmtId="0" fontId="21" fillId="4" borderId="0" xfId="3" applyFont="1" applyFill="1" applyAlignment="1">
      <alignment horizontal="center" vertical="top"/>
    </xf>
    <xf numFmtId="0" fontId="4" fillId="4" borderId="0" xfId="3" applyFill="1" applyAlignment="1">
      <alignment vertical="top"/>
    </xf>
    <xf numFmtId="1" fontId="22" fillId="4" borderId="4" xfId="3" applyNumberFormat="1" applyFont="1" applyFill="1" applyBorder="1" applyAlignment="1">
      <alignment horizontal="center" vertical="top" wrapText="1"/>
    </xf>
    <xf numFmtId="0" fontId="22" fillId="4" borderId="4" xfId="3" applyFont="1" applyFill="1" applyBorder="1" applyAlignment="1">
      <alignment vertical="top" wrapText="1"/>
    </xf>
    <xf numFmtId="0" fontId="4" fillId="4" borderId="4" xfId="3" applyFill="1" applyBorder="1" applyAlignment="1">
      <alignment horizontal="center"/>
    </xf>
    <xf numFmtId="0" fontId="4" fillId="4" borderId="4" xfId="3" applyFill="1" applyBorder="1" applyAlignment="1">
      <alignment horizontal="center" vertical="center"/>
    </xf>
    <xf numFmtId="0" fontId="21" fillId="4" borderId="0" xfId="3" applyFont="1" applyFill="1" applyAlignment="1" applyProtection="1">
      <alignment horizontal="left"/>
      <protection locked="0"/>
    </xf>
    <xf numFmtId="9" fontId="4" fillId="4" borderId="4" xfId="3" applyNumberFormat="1" applyFill="1" applyBorder="1" applyAlignment="1">
      <alignment horizontal="center" vertical="center"/>
    </xf>
    <xf numFmtId="0" fontId="25" fillId="0" borderId="0" xfId="0" applyFont="1"/>
    <xf numFmtId="0" fontId="25" fillId="0" borderId="0" xfId="0" applyFont="1" applyAlignment="1">
      <alignment horizontal="left" vertical="center"/>
    </xf>
    <xf numFmtId="0" fontId="25" fillId="0" borderId="0" xfId="0" applyFont="1" applyAlignment="1">
      <alignment vertical="center" wrapText="1"/>
    </xf>
    <xf numFmtId="164" fontId="25" fillId="0" borderId="0" xfId="0" applyNumberFormat="1" applyFont="1" applyAlignment="1">
      <alignment horizontal="right" vertical="center" wrapText="1"/>
    </xf>
    <xf numFmtId="3" fontId="25" fillId="0" borderId="0" xfId="0" applyNumberFormat="1" applyFont="1" applyAlignment="1">
      <alignment horizontal="right" vertical="center" wrapText="1"/>
    </xf>
    <xf numFmtId="0" fontId="25" fillId="3" borderId="0" xfId="0" applyFont="1" applyFill="1" applyAlignment="1">
      <alignment horizontal="right" vertical="center"/>
    </xf>
    <xf numFmtId="0" fontId="25" fillId="0" borderId="0" xfId="0" applyFont="1" applyAlignment="1">
      <alignment horizontal="right" vertical="center" wrapText="1"/>
    </xf>
    <xf numFmtId="0" fontId="25" fillId="3" borderId="2" xfId="0" applyFont="1" applyFill="1" applyBorder="1" applyAlignment="1">
      <alignment horizontal="right" vertical="center"/>
    </xf>
    <xf numFmtId="0" fontId="25" fillId="0" borderId="0" xfId="0" applyFont="1" applyAlignment="1">
      <alignment horizontal="right" vertical="center"/>
    </xf>
    <xf numFmtId="0" fontId="25" fillId="0" borderId="0" xfId="0" applyFont="1" applyAlignment="1">
      <alignment horizontal="right"/>
    </xf>
    <xf numFmtId="0" fontId="26" fillId="10" borderId="4" xfId="2" applyFont="1" applyFill="1" applyBorder="1" applyAlignment="1">
      <alignment horizontal="center" vertical="center" wrapText="1"/>
    </xf>
    <xf numFmtId="0" fontId="25" fillId="20" borderId="26" xfId="0" applyFont="1" applyFill="1" applyBorder="1" applyAlignment="1">
      <alignment horizontal="right" vertical="center"/>
    </xf>
    <xf numFmtId="0" fontId="25" fillId="20" borderId="0" xfId="0" applyFont="1" applyFill="1" applyAlignment="1">
      <alignment horizontal="right" vertical="center"/>
    </xf>
    <xf numFmtId="0" fontId="25" fillId="20" borderId="27" xfId="0" applyFont="1" applyFill="1" applyBorder="1" applyAlignment="1">
      <alignment horizontal="right" vertical="center"/>
    </xf>
    <xf numFmtId="9" fontId="25" fillId="20" borderId="26" xfId="1" applyFont="1" applyFill="1" applyBorder="1" applyAlignment="1">
      <alignment horizontal="right" vertical="center" wrapText="1"/>
    </xf>
    <xf numFmtId="9" fontId="25" fillId="20" borderId="0" xfId="1" applyFont="1" applyFill="1" applyAlignment="1">
      <alignment horizontal="right" vertical="center" wrapText="1"/>
    </xf>
    <xf numFmtId="9" fontId="25" fillId="20" borderId="27" xfId="1" applyFont="1" applyFill="1" applyBorder="1" applyAlignment="1">
      <alignment horizontal="right" vertical="center" wrapText="1"/>
    </xf>
    <xf numFmtId="0" fontId="24" fillId="10" borderId="1" xfId="2" applyFont="1" applyFill="1" applyBorder="1" applyAlignment="1">
      <alignment horizontal="left" vertical="center"/>
    </xf>
    <xf numFmtId="0" fontId="24" fillId="10" borderId="1" xfId="2" applyFont="1" applyFill="1" applyBorder="1" applyAlignment="1">
      <alignment horizontal="left" vertical="center" wrapText="1"/>
    </xf>
    <xf numFmtId="164" fontId="24" fillId="10" borderId="1" xfId="2" applyNumberFormat="1" applyFont="1" applyFill="1" applyBorder="1" applyAlignment="1">
      <alignment horizontal="left" vertical="center" wrapText="1"/>
    </xf>
    <xf numFmtId="0" fontId="24" fillId="10" borderId="1" xfId="2" applyFont="1" applyFill="1" applyBorder="1" applyAlignment="1">
      <alignment vertical="center" wrapText="1"/>
    </xf>
    <xf numFmtId="0" fontId="24" fillId="10" borderId="1" xfId="2" applyFont="1" applyFill="1" applyBorder="1" applyAlignment="1">
      <alignment horizontal="center" vertical="center" wrapText="1"/>
    </xf>
    <xf numFmtId="0" fontId="6" fillId="0" borderId="28" xfId="0" pivotButton="1" applyFont="1" applyBorder="1"/>
    <xf numFmtId="0" fontId="6" fillId="0" borderId="29" xfId="0" applyFont="1" applyBorder="1"/>
    <xf numFmtId="0" fontId="6" fillId="0" borderId="30" xfId="0" applyFont="1" applyBorder="1"/>
    <xf numFmtId="0" fontId="6" fillId="0" borderId="28" xfId="0" applyFont="1" applyBorder="1"/>
    <xf numFmtId="0" fontId="6" fillId="0" borderId="31" xfId="0" applyFont="1" applyBorder="1"/>
    <xf numFmtId="0" fontId="6" fillId="0" borderId="32" xfId="0" applyFont="1" applyBorder="1"/>
    <xf numFmtId="0" fontId="6" fillId="0" borderId="33" xfId="0" applyFont="1" applyBorder="1"/>
    <xf numFmtId="0" fontId="6" fillId="0" borderId="34" xfId="0" applyFont="1" applyBorder="1"/>
    <xf numFmtId="0" fontId="6" fillId="0" borderId="35" xfId="0" applyFont="1" applyBorder="1"/>
    <xf numFmtId="0" fontId="6" fillId="0" borderId="36" xfId="0" applyFont="1" applyBorder="1"/>
    <xf numFmtId="0" fontId="6" fillId="0" borderId="37" xfId="0" applyFont="1" applyBorder="1"/>
    <xf numFmtId="0" fontId="6" fillId="0" borderId="38" xfId="0" applyFont="1" applyBorder="1"/>
    <xf numFmtId="0" fontId="6" fillId="0" borderId="39" xfId="0" applyFont="1" applyBorder="1"/>
    <xf numFmtId="0" fontId="18" fillId="4" borderId="19" xfId="0" applyFont="1" applyFill="1" applyBorder="1" applyAlignment="1">
      <alignment horizontal="center"/>
    </xf>
    <xf numFmtId="0" fontId="18" fillId="4" borderId="20" xfId="0" applyFont="1" applyFill="1" applyBorder="1" applyAlignment="1">
      <alignment horizontal="center"/>
    </xf>
    <xf numFmtId="0" fontId="18" fillId="4" borderId="21" xfId="0" applyFont="1" applyFill="1" applyBorder="1" applyAlignment="1">
      <alignment horizontal="center" vertical="center" textRotation="90"/>
    </xf>
    <xf numFmtId="0" fontId="18" fillId="4" borderId="23" xfId="0" applyFont="1" applyFill="1" applyBorder="1" applyAlignment="1">
      <alignment horizontal="center" vertical="center" textRotation="90"/>
    </xf>
    <xf numFmtId="0" fontId="4" fillId="4" borderId="5" xfId="3" applyFill="1" applyBorder="1" applyAlignment="1">
      <alignment horizontal="left" vertical="center"/>
    </xf>
    <xf numFmtId="0" fontId="4" fillId="4" borderId="6" xfId="3" applyFill="1" applyBorder="1" applyAlignment="1">
      <alignment horizontal="left" vertical="center"/>
    </xf>
    <xf numFmtId="0" fontId="4" fillId="4" borderId="7" xfId="3" applyFill="1" applyBorder="1" applyAlignment="1">
      <alignment horizontal="left" vertical="center"/>
    </xf>
    <xf numFmtId="0" fontId="23" fillId="4" borderId="3" xfId="3" applyFont="1" applyFill="1" applyBorder="1" applyAlignment="1" applyProtection="1">
      <alignment horizontal="center"/>
      <protection locked="0"/>
    </xf>
    <xf numFmtId="0" fontId="26" fillId="10" borderId="0" xfId="2" applyFont="1" applyFill="1" applyAlignment="1">
      <alignment horizontal="center" vertical="center" wrapText="1"/>
    </xf>
    <xf numFmtId="0" fontId="26" fillId="10" borderId="5" xfId="2" applyFont="1" applyFill="1" applyBorder="1" applyAlignment="1">
      <alignment horizontal="center" vertical="center" wrapText="1"/>
    </xf>
    <xf numFmtId="0" fontId="26" fillId="10" borderId="6" xfId="2" applyFont="1" applyFill="1" applyBorder="1" applyAlignment="1">
      <alignment horizontal="center" vertical="center" wrapText="1"/>
    </xf>
    <xf numFmtId="0" fontId="26" fillId="10" borderId="7" xfId="2" applyFont="1" applyFill="1" applyBorder="1" applyAlignment="1">
      <alignment horizontal="center" vertical="center" wrapText="1"/>
    </xf>
    <xf numFmtId="0" fontId="4" fillId="4" borderId="5" xfId="3" applyFill="1" applyBorder="1" applyAlignment="1">
      <alignment vertical="center"/>
    </xf>
    <xf numFmtId="0" fontId="4" fillId="4" borderId="6" xfId="3" applyFill="1" applyBorder="1" applyAlignment="1">
      <alignment vertical="center"/>
    </xf>
    <xf numFmtId="0" fontId="4" fillId="4" borderId="7" xfId="3" applyFill="1" applyBorder="1" applyAlignment="1">
      <alignment vertical="center"/>
    </xf>
  </cellXfs>
  <cellStyles count="6">
    <cellStyle name="Accent3" xfId="2" builtinId="37"/>
    <cellStyle name="Comma" xfId="4" builtinId="3"/>
    <cellStyle name="Normal" xfId="0" builtinId="0"/>
    <cellStyle name="Normal 2" xfId="3" xr:uid="{00000000-0005-0000-0000-000003000000}"/>
    <cellStyle name="Normal 3" xfId="5" xr:uid="{00000000-0005-0000-0000-000004000000}"/>
    <cellStyle name="Percent" xfId="1" builtinId="5"/>
  </cellStyles>
  <dxfs count="1">
    <dxf>
      <font>
        <sz val="8"/>
      </font>
    </dxf>
  </dxfs>
  <tableStyles count="0" defaultTableStyle="TableStyleMedium2" defaultPivotStyle="PivotStyleLight16"/>
  <colors>
    <mruColors>
      <color rgb="FFFFEB84"/>
      <color rgb="FFFCB47A"/>
      <color rgb="FFFA8F73"/>
      <color rgb="FFB1D47F"/>
      <color rgb="FF63BE7B"/>
      <color rgb="FFCBDC81"/>
      <color rgb="FFFFCC99"/>
      <color rgb="FFFF3300"/>
      <color rgb="FFFF0000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Risk Assessment Heatmap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6.0414268514731327E-2"/>
          <c:y val="6.4619002866803332E-2"/>
          <c:w val="0.91740185522369799"/>
          <c:h val="0.85179594688058935"/>
        </c:manualLayout>
      </c:layout>
      <c:scatterChart>
        <c:scatterStyle val="lineMarker"/>
        <c:varyColors val="0"/>
        <c:ser>
          <c:idx val="0"/>
          <c:order val="0"/>
          <c:tx>
            <c:v>10</c:v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Map'!$W$4</c:f>
              <c:numCache>
                <c:formatCode>_-* #,##0_-;\-* #,##0_-;_-* "-"??_-;_-@_-</c:formatCode>
                <c:ptCount val="1"/>
                <c:pt idx="0">
                  <c:v>10</c:v>
                </c:pt>
              </c:numCache>
            </c:numRef>
          </c:xVal>
          <c:yVal>
            <c:numRef>
              <c:f>'Heat Map'!$X$4</c:f>
              <c:numCache>
                <c:formatCode>_-* #,##0_-;\-* #,##0_-;_-* "-"??_-;_-@_-</c:formatCode>
                <c:ptCount val="1"/>
                <c:pt idx="0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8-3901-471F-9952-E37F14B2C3CC}"/>
            </c:ext>
          </c:extLst>
        </c:ser>
        <c:ser>
          <c:idx val="1"/>
          <c:order val="1"/>
          <c:tx>
            <c:v>20</c:v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Map'!$W$5</c:f>
              <c:numCache>
                <c:formatCode>_-* #,##0_-;\-* #,##0_-;_-* "-"??_-;_-@_-</c:formatCode>
                <c:ptCount val="1"/>
                <c:pt idx="0">
                  <c:v>20</c:v>
                </c:pt>
              </c:numCache>
            </c:numRef>
          </c:xVal>
          <c:yVal>
            <c:numRef>
              <c:f>'Heat Map'!$X$5</c:f>
              <c:numCache>
                <c:formatCode>_-* #,##0_-;\-* #,##0_-;_-* "-"??_-;_-@_-</c:formatCode>
                <c:ptCount val="1"/>
                <c:pt idx="0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9-3901-471F-9952-E37F14B2C3CC}"/>
            </c:ext>
          </c:extLst>
        </c:ser>
        <c:ser>
          <c:idx val="2"/>
          <c:order val="2"/>
          <c:tx>
            <c:v>30</c:v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Map'!$W$6</c:f>
              <c:numCache>
                <c:formatCode>_-* #,##0_-;\-* #,##0_-;_-* "-"??_-;_-@_-</c:formatCode>
                <c:ptCount val="1"/>
                <c:pt idx="0">
                  <c:v>30</c:v>
                </c:pt>
              </c:numCache>
            </c:numRef>
          </c:xVal>
          <c:yVal>
            <c:numRef>
              <c:f>'Heat Map'!$X$6</c:f>
              <c:numCache>
                <c:formatCode>_-* #,##0_-;\-* #,##0_-;_-* "-"??_-;_-@_-</c:formatCode>
                <c:ptCount val="1"/>
                <c:pt idx="0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A-3901-471F-9952-E37F14B2C3CC}"/>
            </c:ext>
          </c:extLst>
        </c:ser>
        <c:ser>
          <c:idx val="3"/>
          <c:order val="3"/>
          <c:tx>
            <c:v>40</c:v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Map'!$W$7</c:f>
              <c:numCache>
                <c:formatCode>_-* #,##0_-;\-* #,##0_-;_-* "-"??_-;_-@_-</c:formatCode>
                <c:ptCount val="1"/>
                <c:pt idx="0">
                  <c:v>40</c:v>
                </c:pt>
              </c:numCache>
            </c:numRef>
          </c:xVal>
          <c:yVal>
            <c:numRef>
              <c:f>'Heat Map'!$X$7</c:f>
              <c:numCache>
                <c:formatCode>_-* #,##0_-;\-* #,##0_-;_-* "-"??_-;_-@_-</c:formatCode>
                <c:ptCount val="1"/>
                <c:pt idx="0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B-3901-471F-9952-E37F14B2C3CC}"/>
            </c:ext>
          </c:extLst>
        </c:ser>
        <c:ser>
          <c:idx val="4"/>
          <c:order val="4"/>
          <c:tx>
            <c:v>50</c:v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Map'!$W$8</c:f>
              <c:numCache>
                <c:formatCode>_-* #,##0_-;\-* #,##0_-;_-* "-"??_-;_-@_-</c:formatCode>
                <c:ptCount val="1"/>
                <c:pt idx="0">
                  <c:v>50</c:v>
                </c:pt>
              </c:numCache>
            </c:numRef>
          </c:xVal>
          <c:yVal>
            <c:numRef>
              <c:f>'Heat Map'!$X$8</c:f>
              <c:numCache>
                <c:formatCode>_-* #,##0_-;\-* #,##0_-;_-* "-"??_-;_-@_-</c:formatCode>
                <c:ptCount val="1"/>
                <c:pt idx="0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C-3901-471F-9952-E37F14B2C3CC}"/>
            </c:ext>
          </c:extLst>
        </c:ser>
        <c:ser>
          <c:idx val="5"/>
          <c:order val="5"/>
          <c:tx>
            <c:v>10</c:v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Map'!$W$9</c:f>
              <c:numCache>
                <c:formatCode>_-* #,##0_-;\-* #,##0_-;_-* "-"??_-;_-@_-</c:formatCode>
                <c:ptCount val="1"/>
                <c:pt idx="0">
                  <c:v>5</c:v>
                </c:pt>
              </c:numCache>
            </c:numRef>
          </c:xVal>
          <c:yVal>
            <c:numRef>
              <c:f>'Heat Map'!$X$9</c:f>
              <c:numCache>
                <c:formatCode>_-* #,##0_-;\-* #,##0_-;_-* "-"??_-;_-@_-</c:formatCode>
                <c:ptCount val="1"/>
                <c:pt idx="0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D-3901-471F-9952-E37F14B2C3CC}"/>
            </c:ext>
          </c:extLst>
        </c:ser>
        <c:ser>
          <c:idx val="6"/>
          <c:order val="6"/>
          <c:tx>
            <c:v>20</c:v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Map'!$W$10</c:f>
              <c:numCache>
                <c:formatCode>_-* #,##0_-;\-* #,##0_-;_-* "-"??_-;_-@_-</c:formatCode>
                <c:ptCount val="1"/>
                <c:pt idx="0">
                  <c:v>5</c:v>
                </c:pt>
              </c:numCache>
            </c:numRef>
          </c:xVal>
          <c:yVal>
            <c:numRef>
              <c:f>'Heat Map'!$X$10</c:f>
              <c:numCache>
                <c:formatCode>_-* #,##0_-;\-* #,##0_-;_-* "-"??_-;_-@_-</c:formatCode>
                <c:ptCount val="1"/>
                <c:pt idx="0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E-3901-471F-9952-E37F14B2C3CC}"/>
            </c:ext>
          </c:extLst>
        </c:ser>
        <c:ser>
          <c:idx val="7"/>
          <c:order val="7"/>
          <c:tx>
            <c:v>30</c:v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Map'!$W$11</c:f>
              <c:numCache>
                <c:formatCode>_-* #,##0_-;\-* #,##0_-;_-* "-"??_-;_-@_-</c:formatCode>
                <c:ptCount val="1"/>
                <c:pt idx="0">
                  <c:v>5</c:v>
                </c:pt>
              </c:numCache>
            </c:numRef>
          </c:xVal>
          <c:yVal>
            <c:numRef>
              <c:f>'Heat Map'!$X$11</c:f>
              <c:numCache>
                <c:formatCode>_-* #,##0_-;\-* #,##0_-;_-* "-"??_-;_-@_-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F-3901-471F-9952-E37F14B2C3CC}"/>
            </c:ext>
          </c:extLst>
        </c:ser>
        <c:ser>
          <c:idx val="8"/>
          <c:order val="8"/>
          <c:tx>
            <c:v>40</c:v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Map'!$W$12</c:f>
              <c:numCache>
                <c:formatCode>_-* #,##0_-;\-* #,##0_-;_-* "-"??_-;_-@_-</c:formatCode>
                <c:ptCount val="1"/>
                <c:pt idx="0">
                  <c:v>5</c:v>
                </c:pt>
              </c:numCache>
            </c:numRef>
          </c:xVal>
          <c:yVal>
            <c:numRef>
              <c:f>'Heat Map'!$X$12</c:f>
              <c:numCache>
                <c:formatCode>_-* #,##0_-;\-* #,##0_-;_-* "-"??_-;_-@_-</c:formatCode>
                <c:ptCount val="1"/>
                <c:pt idx="0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0-3901-471F-9952-E37F14B2C3CC}"/>
            </c:ext>
          </c:extLst>
        </c:ser>
        <c:ser>
          <c:idx val="9"/>
          <c:order val="9"/>
          <c:tx>
            <c:v>50</c:v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Map'!$W$13</c:f>
              <c:numCache>
                <c:formatCode>_-* #,##0_-;\-* #,##0_-;_-* "-"??_-;_-@_-</c:formatCode>
                <c:ptCount val="1"/>
                <c:pt idx="0">
                  <c:v>5</c:v>
                </c:pt>
              </c:numCache>
            </c:numRef>
          </c:xVal>
          <c:yVal>
            <c:numRef>
              <c:f>'Heat Map'!$X$13</c:f>
              <c:numCache>
                <c:formatCode>_-* #,##0_-;\-* #,##0_-;_-* "-"??_-;_-@_-</c:formatCode>
                <c:ptCount val="1"/>
                <c:pt idx="0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1-3901-471F-9952-E37F14B2C3CC}"/>
            </c:ext>
          </c:extLst>
        </c:ser>
        <c:ser>
          <c:idx val="10"/>
          <c:order val="10"/>
          <c:tx>
            <c:v>High Potential, Not Likely</c:v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>
                    <a:solidFill>
                      <a:srgbClr val="632523"/>
                    </a:solidFill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Map'!$W$14</c:f>
              <c:numCache>
                <c:formatCode>_-* #,##0_-;\-* #,##0_-;_-* "-"??_-;_-@_-</c:formatCode>
                <c:ptCount val="1"/>
                <c:pt idx="0">
                  <c:v>5</c:v>
                </c:pt>
              </c:numCache>
            </c:numRef>
          </c:xVal>
          <c:yVal>
            <c:numRef>
              <c:f>'Heat Map'!$X$14</c:f>
              <c:numCache>
                <c:formatCode>_-* #,##0_-;\-* #,##0_-;_-* "-"??_-;_-@_-</c:formatCode>
                <c:ptCount val="1"/>
                <c:pt idx="0">
                  <c:v>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2-3901-471F-9952-E37F14B2C3CC}"/>
            </c:ext>
          </c:extLst>
        </c:ser>
        <c:ser>
          <c:idx val="11"/>
          <c:order val="11"/>
          <c:tx>
            <c:v>Less Risky</c:v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>
                    <a:solidFill>
                      <a:srgbClr val="632523"/>
                    </a:solidFill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Map'!$W$15</c:f>
              <c:numCache>
                <c:formatCode>_-* #,##0_-;\-* #,##0_-;_-* "-"??_-;_-@_-</c:formatCode>
                <c:ptCount val="1"/>
                <c:pt idx="0">
                  <c:v>5</c:v>
                </c:pt>
              </c:numCache>
            </c:numRef>
          </c:xVal>
          <c:yVal>
            <c:numRef>
              <c:f>'Heat Map'!$X$15</c:f>
              <c:numCache>
                <c:formatCode>_-* #,##0_-;\-* #,##0_-;_-* "-"??_-;_-@_-</c:formatCode>
                <c:ptCount val="1"/>
                <c:pt idx="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3-3901-471F-9952-E37F14B2C3CC}"/>
            </c:ext>
          </c:extLst>
        </c:ser>
        <c:ser>
          <c:idx val="12"/>
          <c:order val="12"/>
          <c:tx>
            <c:v>Threatening</c:v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>
                    <a:solidFill>
                      <a:srgbClr val="632523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Map'!$W$16</c:f>
              <c:numCache>
                <c:formatCode>_-* #,##0_-;\-* #,##0_-;_-* "-"??_-;_-@_-</c:formatCode>
                <c:ptCount val="1"/>
                <c:pt idx="0">
                  <c:v>54.99</c:v>
                </c:pt>
              </c:numCache>
            </c:numRef>
          </c:xVal>
          <c:yVal>
            <c:numRef>
              <c:f>'Heat Map'!$X$16</c:f>
              <c:numCache>
                <c:formatCode>_-* #,##0_-;\-* #,##0_-;_-* "-"??_-;_-@_-</c:formatCode>
                <c:ptCount val="1"/>
                <c:pt idx="0">
                  <c:v>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3901-471F-9952-E37F14B2C3CC}"/>
            </c:ext>
          </c:extLst>
        </c:ser>
        <c:ser>
          <c:idx val="13"/>
          <c:order val="13"/>
          <c:tx>
            <c:v>Likely, Low Potential</c:v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>
                    <a:solidFill>
                      <a:srgbClr val="632523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Map'!$W$17</c:f>
              <c:numCache>
                <c:formatCode>_-* #,##0_-;\-* #,##0_-;_-* "-"??_-;_-@_-</c:formatCode>
                <c:ptCount val="1"/>
                <c:pt idx="0">
                  <c:v>54.99</c:v>
                </c:pt>
              </c:numCache>
            </c:numRef>
          </c:xVal>
          <c:yVal>
            <c:numRef>
              <c:f>'Heat Map'!$X$17</c:f>
              <c:numCache>
                <c:formatCode>_-* #,##0_-;\-* #,##0_-;_-* "-"??_-;_-@_-</c:formatCode>
                <c:ptCount val="1"/>
                <c:pt idx="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3901-471F-9952-E37F14B2C3CC}"/>
            </c:ext>
          </c:extLst>
        </c:ser>
        <c:ser>
          <c:idx val="14"/>
          <c:order val="14"/>
          <c:tx>
            <c:v>MONITOR</c:v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500" b="1">
                    <a:solidFill>
                      <a:srgbClr val="632523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Map'!$W$18</c:f>
              <c:numCache>
                <c:formatCode>_-* #,##0_-;\-* #,##0_-;_-* "-"??_-;_-@_-</c:formatCode>
                <c:ptCount val="1"/>
                <c:pt idx="0">
                  <c:v>19</c:v>
                </c:pt>
              </c:numCache>
            </c:numRef>
          </c:xVal>
          <c:yVal>
            <c:numRef>
              <c:f>'Heat Map'!$X$18</c:f>
              <c:numCache>
                <c:formatCode>_-* #,##0_-;\-* #,##0_-;_-* "-"??_-;_-@_-</c:formatCode>
                <c:ptCount val="1"/>
                <c:pt idx="0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3901-471F-9952-E37F14B2C3CC}"/>
            </c:ext>
          </c:extLst>
        </c:ser>
        <c:ser>
          <c:idx val="15"/>
          <c:order val="15"/>
          <c:tx>
            <c:v>MANAGE</c:v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500" b="1">
                    <a:solidFill>
                      <a:srgbClr val="632523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Map'!$W$19</c:f>
              <c:numCache>
                <c:formatCode>_-* #,##0_-;\-* #,##0_-;_-* "-"??_-;_-@_-</c:formatCode>
                <c:ptCount val="1"/>
                <c:pt idx="0">
                  <c:v>30</c:v>
                </c:pt>
              </c:numCache>
            </c:numRef>
          </c:xVal>
          <c:yVal>
            <c:numRef>
              <c:f>'Heat Map'!$X$19</c:f>
              <c:numCache>
                <c:formatCode>_-* #,##0_-;\-* #,##0_-;_-* "-"??_-;_-@_-</c:formatCode>
                <c:ptCount val="1"/>
                <c:pt idx="0">
                  <c:v>48.75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3901-471F-9952-E37F14B2C3CC}"/>
            </c:ext>
          </c:extLst>
        </c:ser>
        <c:ser>
          <c:idx val="16"/>
          <c:order val="16"/>
          <c:tx>
            <c:v>MITIGATE</c:v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500" b="1">
                    <a:solidFill>
                      <a:srgbClr val="632523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Map'!$W$20</c:f>
              <c:numCache>
                <c:formatCode>_-* #,##0_-;\-* #,##0_-;_-* "-"??_-;_-@_-</c:formatCode>
                <c:ptCount val="1"/>
                <c:pt idx="0">
                  <c:v>42.333300000000001</c:v>
                </c:pt>
              </c:numCache>
            </c:numRef>
          </c:xVal>
          <c:yVal>
            <c:numRef>
              <c:f>'Heat Map'!$X$20</c:f>
              <c:numCache>
                <c:formatCode>_-* #,##0_-;\-* #,##0_-;_-* "-"??_-;_-@_-</c:formatCode>
                <c:ptCount val="1"/>
                <c:pt idx="0">
                  <c:v>52.5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3901-471F-9952-E37F14B2C3CC}"/>
            </c:ext>
          </c:extLst>
        </c:ser>
        <c:ser>
          <c:idx val="17"/>
          <c:order val="17"/>
          <c:tx>
            <c:v>MAKE DO</c:v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2500" b="1">
                    <a:solidFill>
                      <a:srgbClr val="632523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Map'!$W$21</c:f>
              <c:numCache>
                <c:formatCode>_-* #,##0_-;\-* #,##0_-;_-* "-"??_-;_-@_-</c:formatCode>
                <c:ptCount val="1"/>
                <c:pt idx="0">
                  <c:v>19</c:v>
                </c:pt>
              </c:numCache>
            </c:numRef>
          </c:xVal>
          <c:yVal>
            <c:numRef>
              <c:f>'Heat Map'!$X$21</c:f>
              <c:numCache>
                <c:formatCode>_-* #,##0_-;\-* #,##0_-;_-* "-"??_-;_-@_-</c:formatCode>
                <c:ptCount val="1"/>
                <c:pt idx="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3901-471F-9952-E37F14B2C3CC}"/>
            </c:ext>
          </c:extLst>
        </c:ser>
        <c:ser>
          <c:idx val="18"/>
          <c:order val="18"/>
          <c:tx>
            <c:v>R6</c:v>
          </c:tx>
          <c:spPr>
            <a:ln w="28575">
              <a:noFill/>
            </a:ln>
          </c:spPr>
          <c:marker>
            <c:symbol val="none"/>
          </c:marker>
          <c:dLbls>
            <c:spPr>
              <a:solidFill>
                <a:srgbClr val="FFFFFF">
                  <a:alpha val="75000"/>
                </a:srgbClr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Map'!$W$22</c:f>
              <c:numCache>
                <c:formatCode>_-* #,##0_-;\-* #,##0_-;_-* "-"??_-;_-@_-</c:formatCode>
                <c:ptCount val="1"/>
                <c:pt idx="0">
                  <c:v>15</c:v>
                </c:pt>
              </c:numCache>
            </c:numRef>
          </c:xVal>
          <c:yVal>
            <c:numRef>
              <c:f>'Heat Map'!$X$22</c:f>
              <c:numCache>
                <c:formatCode>_-* #,##0_-;\-* #,##0_-;_-* "-"??_-;_-@_-</c:formatCode>
                <c:ptCount val="1"/>
                <c:pt idx="0">
                  <c:v>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3901-471F-9952-E37F14B2C3CC}"/>
            </c:ext>
          </c:extLst>
        </c:ser>
        <c:ser>
          <c:idx val="19"/>
          <c:order val="19"/>
          <c:tx>
            <c:v>R4, R7</c:v>
          </c:tx>
          <c:spPr>
            <a:ln w="28575">
              <a:noFill/>
            </a:ln>
          </c:spPr>
          <c:marker>
            <c:symbol val="none"/>
          </c:marker>
          <c:dLbls>
            <c:spPr>
              <a:solidFill>
                <a:srgbClr val="FFFFFF">
                  <a:alpha val="75000"/>
                </a:srgbClr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Map'!$W$23</c:f>
              <c:numCache>
                <c:formatCode>_-* #,##0_-;\-* #,##0_-;_-* "-"??_-;_-@_-</c:formatCode>
                <c:ptCount val="1"/>
                <c:pt idx="0">
                  <c:v>20</c:v>
                </c:pt>
              </c:numCache>
            </c:numRef>
          </c:xVal>
          <c:yVal>
            <c:numRef>
              <c:f>'Heat Map'!$X$23</c:f>
              <c:numCache>
                <c:formatCode>_-* #,##0_-;\-* #,##0_-;_-* "-"??_-;_-@_-</c:formatCode>
                <c:ptCount val="1"/>
                <c:pt idx="0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3901-471F-9952-E37F14B2C3CC}"/>
            </c:ext>
          </c:extLst>
        </c:ser>
        <c:ser>
          <c:idx val="20"/>
          <c:order val="20"/>
          <c:tx>
            <c:v>R5, R8</c:v>
          </c:tx>
          <c:spPr>
            <a:ln w="28575">
              <a:noFill/>
            </a:ln>
          </c:spPr>
          <c:marker>
            <c:symbol val="none"/>
          </c:marker>
          <c:dLbls>
            <c:spPr>
              <a:solidFill>
                <a:srgbClr val="FFFFFF">
                  <a:alpha val="75000"/>
                </a:srgbClr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Map'!$W$24</c:f>
              <c:numCache>
                <c:formatCode>_-* #,##0_-;\-* #,##0_-;_-* "-"??_-;_-@_-</c:formatCode>
                <c:ptCount val="1"/>
                <c:pt idx="0">
                  <c:v>30</c:v>
                </c:pt>
              </c:numCache>
            </c:numRef>
          </c:xVal>
          <c:yVal>
            <c:numRef>
              <c:f>'Heat Map'!$X$24</c:f>
              <c:numCache>
                <c:formatCode>_-* #,##0_-;\-* #,##0_-;_-* "-"??_-;_-@_-</c:formatCode>
                <c:ptCount val="1"/>
                <c:pt idx="0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3901-471F-9952-E37F14B2C3CC}"/>
            </c:ext>
          </c:extLst>
        </c:ser>
        <c:ser>
          <c:idx val="21"/>
          <c:order val="21"/>
          <c:tx>
            <c:v>R8</c:v>
          </c:tx>
          <c:spPr>
            <a:ln w="28575">
              <a:noFill/>
            </a:ln>
          </c:spPr>
          <c:marker>
            <c:symbol val="none"/>
          </c:marker>
          <c:dLbls>
            <c:spPr>
              <a:solidFill>
                <a:srgbClr val="FFFFFF">
                  <a:alpha val="75000"/>
                </a:srgbClr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Map'!$W$25</c:f>
              <c:numCache>
                <c:formatCode>_-* #,##0_-;\-* #,##0_-;_-* "-"??_-;_-@_-</c:formatCode>
                <c:ptCount val="1"/>
                <c:pt idx="0">
                  <c:v>31</c:v>
                </c:pt>
              </c:numCache>
            </c:numRef>
          </c:xVal>
          <c:yVal>
            <c:numRef>
              <c:f>'Heat Map'!$X$25</c:f>
              <c:numCache>
                <c:formatCode>_-* #,##0_-;\-* #,##0_-;_-* "-"??_-;_-@_-</c:formatCode>
                <c:ptCount val="1"/>
                <c:pt idx="0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3901-471F-9952-E37F14B2C3CC}"/>
            </c:ext>
          </c:extLst>
        </c:ser>
        <c:ser>
          <c:idx val="22"/>
          <c:order val="22"/>
          <c:tx>
            <c:v>R2</c:v>
          </c:tx>
          <c:spPr>
            <a:ln w="28575">
              <a:noFill/>
            </a:ln>
          </c:spPr>
          <c:marker>
            <c:symbol val="none"/>
          </c:marker>
          <c:dLbls>
            <c:spPr>
              <a:solidFill>
                <a:srgbClr val="FFFFFF">
                  <a:alpha val="75000"/>
                </a:srgbClr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Map'!$W$26</c:f>
              <c:numCache>
                <c:formatCode>_-* #,##0_-;\-* #,##0_-;_-* "-"??_-;_-@_-</c:formatCode>
                <c:ptCount val="1"/>
                <c:pt idx="0">
                  <c:v>30</c:v>
                </c:pt>
              </c:numCache>
            </c:numRef>
          </c:xVal>
          <c:yVal>
            <c:numRef>
              <c:f>'Heat Map'!$X$26</c:f>
              <c:numCache>
                <c:formatCode>_-* #,##0_-;\-* #,##0_-;_-* "-"??_-;_-@_-</c:formatCode>
                <c:ptCount val="1"/>
                <c:pt idx="0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3901-471F-9952-E37F14B2C3CC}"/>
            </c:ext>
          </c:extLst>
        </c:ser>
        <c:ser>
          <c:idx val="23"/>
          <c:order val="23"/>
          <c:tx>
            <c:v>R1</c:v>
          </c:tx>
          <c:spPr>
            <a:ln w="28575">
              <a:noFill/>
            </a:ln>
          </c:spPr>
          <c:marker>
            <c:symbol val="none"/>
          </c:marker>
          <c:dLbls>
            <c:spPr>
              <a:solidFill>
                <a:srgbClr val="FFFFFF">
                  <a:alpha val="75000"/>
                </a:srgbClr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Map'!$W$27</c:f>
              <c:numCache>
                <c:formatCode>_-* #,##0_-;\-* #,##0_-;_-* "-"??_-;_-@_-</c:formatCode>
                <c:ptCount val="1"/>
                <c:pt idx="0">
                  <c:v>40</c:v>
                </c:pt>
              </c:numCache>
            </c:numRef>
          </c:xVal>
          <c:yVal>
            <c:numRef>
              <c:f>'Heat Map'!$X$27</c:f>
              <c:numCache>
                <c:formatCode>_-* #,##0_-;\-* #,##0_-;_-* "-"??_-;_-@_-</c:formatCode>
                <c:ptCount val="1"/>
                <c:pt idx="0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3901-471F-9952-E37F14B2C3CC}"/>
            </c:ext>
          </c:extLst>
        </c:ser>
        <c:ser>
          <c:idx val="24"/>
          <c:order val="24"/>
          <c:tx>
            <c:v>R3</c:v>
          </c:tx>
          <c:spPr>
            <a:ln w="28575">
              <a:noFill/>
            </a:ln>
          </c:spPr>
          <c:marker>
            <c:symbol val="none"/>
          </c:marker>
          <c:dLbls>
            <c:spPr>
              <a:solidFill>
                <a:srgbClr val="FFFFFF">
                  <a:alpha val="75000"/>
                </a:srgbClr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rgbClr val="000000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Map'!$W$28</c:f>
              <c:numCache>
                <c:formatCode>_-* #,##0_-;\-* #,##0_-;_-* "-"??_-;_-@_-</c:formatCode>
                <c:ptCount val="1"/>
                <c:pt idx="0">
                  <c:v>40</c:v>
                </c:pt>
              </c:numCache>
            </c:numRef>
          </c:xVal>
          <c:yVal>
            <c:numRef>
              <c:f>'Heat Map'!$X$28</c:f>
              <c:numCache>
                <c:formatCode>_-* #,##0_-;\-* #,##0_-;_-* "-"??_-;_-@_-</c:formatCode>
                <c:ptCount val="1"/>
                <c:pt idx="0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3901-471F-9952-E37F14B2C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29792"/>
        <c:axId val="177345664"/>
      </c:scatterChart>
      <c:valAx>
        <c:axId val="176929792"/>
        <c:scaling>
          <c:orientation val="minMax"/>
          <c:max val="54.99"/>
          <c:min val="5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IMPACT</a:t>
                </a:r>
              </a:p>
            </c:rich>
          </c:tx>
          <c:layout>
            <c:manualLayout>
              <c:xMode val="edge"/>
              <c:yMode val="edge"/>
              <c:x val="0.48041263748625912"/>
              <c:y val="0.94578722377775781"/>
            </c:manualLayout>
          </c:layout>
          <c:overlay val="0"/>
        </c:title>
        <c:numFmt formatCode="_-* #,##0_-;\-* #,##0_-;_-* &quot;-&quot;??_-;_-@_-" sourceLinked="1"/>
        <c:majorTickMark val="out"/>
        <c:minorTickMark val="none"/>
        <c:tickLblPos val="none"/>
        <c:crossAx val="177345664"/>
        <c:crosses val="autoZero"/>
        <c:crossBetween val="midCat"/>
        <c:majorUnit val="25"/>
        <c:minorUnit val="10"/>
      </c:valAx>
      <c:valAx>
        <c:axId val="177345664"/>
        <c:scaling>
          <c:orientation val="minMax"/>
          <c:max val="54.99"/>
          <c:min val="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PROBABILITY</a:t>
                </a:r>
              </a:p>
            </c:rich>
          </c:tx>
          <c:layout>
            <c:manualLayout>
              <c:xMode val="edge"/>
              <c:yMode val="edge"/>
              <c:x val="1.0069044752455222E-2"/>
              <c:y val="0.44351449308742646"/>
            </c:manualLayout>
          </c:layout>
          <c:overlay val="0"/>
        </c:title>
        <c:numFmt formatCode="_-* #,##0_-;\-* #,##0_-;_-* &quot;-&quot;??_-;_-@_-" sourceLinked="1"/>
        <c:majorTickMark val="out"/>
        <c:minorTickMark val="none"/>
        <c:tickLblPos val="none"/>
        <c:crossAx val="176929792"/>
        <c:crosses val="autoZero"/>
        <c:crossBetween val="midCat"/>
        <c:majorUnit val="25"/>
        <c:minorUnit val="10"/>
      </c:valAx>
      <c:spPr>
        <a:gradFill flip="none" rotWithShape="1">
          <a:gsLst>
            <a:gs pos="0">
              <a:srgbClr val="FF0000"/>
            </a:gs>
            <a:gs pos="50000">
              <a:srgbClr val="FFC000"/>
            </a:gs>
            <a:gs pos="58000">
              <a:srgbClr val="FFC000"/>
            </a:gs>
            <a:gs pos="100000">
              <a:srgbClr val="00B050"/>
            </a:gs>
            <a:gs pos="0">
              <a:srgbClr val="FF0000"/>
            </a:gs>
            <a:gs pos="100000">
              <a:srgbClr val="FF0000"/>
            </a:gs>
          </a:gsLst>
          <a:lin ang="8100000" scaled="1"/>
          <a:tileRect/>
        </a:gradFill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18</xdr:col>
      <xdr:colOff>182880</xdr:colOff>
      <xdr:row>65</xdr:row>
      <xdr:rowOff>15240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</xdr:colOff>
          <xdr:row>61</xdr:row>
          <xdr:rowOff>76200</xdr:rowOff>
        </xdr:from>
        <xdr:to>
          <xdr:col>7</xdr:col>
          <xdr:colOff>228600</xdr:colOff>
          <xdr:row>66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chart data and labels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0.06</cdr:x>
      <cdr:y>0.06519</cdr:y>
    </cdr:from>
    <cdr:to>
      <cdr:x>0.97111</cdr:x>
      <cdr:y>0.92444</cdr:y>
    </cdr:to>
    <cdr:cxnSp macro="">
      <cdr:nvCxnSpPr>
        <cdr:cNvPr id="30" name="Straight Connector 29">
          <a:extLst xmlns:a="http://schemas.openxmlformats.org/drawingml/2006/main">
            <a:ext uri="{FF2B5EF4-FFF2-40B4-BE49-F238E27FC236}">
              <a16:creationId xmlns:a16="http://schemas.microsoft.com/office/drawing/2014/main" id="{27E114CD-D8B8-46D6-932D-EB76F01DC950}"/>
            </a:ext>
          </a:extLst>
        </cdr:cNvPr>
        <cdr:cNvCxnSpPr/>
      </cdr:nvCxnSpPr>
      <cdr:spPr>
        <a:xfrm xmlns:a="http://schemas.openxmlformats.org/drawingml/2006/main">
          <a:off x="685800" y="558800"/>
          <a:ext cx="10414000" cy="7366000"/>
        </a:xfrm>
        <a:prstGeom xmlns:a="http://schemas.openxmlformats.org/drawingml/2006/main" prst="line">
          <a:avLst/>
        </a:prstGeom>
        <a:ln xmlns:a="http://schemas.openxmlformats.org/drawingml/2006/main" w="9525" cap="flat" cmpd="sng" algn="ctr">
          <a:solidFill>
            <a:schemeClr val="bg1">
              <a:lumMod val="100000"/>
            </a:schemeClr>
          </a:solidFill>
          <a:prstDash val="dash"/>
          <a:round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0.06</cdr:x>
      <cdr:y>0.06519</cdr:y>
    </cdr:from>
    <cdr:to>
      <cdr:x>0.97111</cdr:x>
      <cdr:y>0.92444</cdr:y>
    </cdr:to>
    <cdr:cxnSp macro="">
      <cdr:nvCxnSpPr>
        <cdr:cNvPr id="31" name="Straight Connector 30">
          <a:extLst xmlns:a="http://schemas.openxmlformats.org/drawingml/2006/main">
            <a:ext uri="{FF2B5EF4-FFF2-40B4-BE49-F238E27FC236}">
              <a16:creationId xmlns:a16="http://schemas.microsoft.com/office/drawing/2014/main" id="{A92ECA2C-114A-447C-82C8-3C87B60ECF12}"/>
            </a:ext>
          </a:extLst>
        </cdr:cNvPr>
        <cdr:cNvCxnSpPr/>
      </cdr:nvCxnSpPr>
      <cdr:spPr>
        <a:xfrm xmlns:a="http://schemas.openxmlformats.org/drawingml/2006/main" flipV="1">
          <a:off x="685800" y="558800"/>
          <a:ext cx="10414000" cy="7366000"/>
        </a:xfrm>
        <a:prstGeom xmlns:a="http://schemas.openxmlformats.org/drawingml/2006/main" prst="line">
          <a:avLst/>
        </a:prstGeom>
        <a:ln xmlns:a="http://schemas.openxmlformats.org/drawingml/2006/main" w="9525" cap="flat" cmpd="sng" algn="ctr">
          <a:solidFill>
            <a:schemeClr val="bg1">
              <a:lumMod val="100000"/>
            </a:schemeClr>
          </a:solidFill>
          <a:prstDash val="dash"/>
          <a:round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0.51556</cdr:x>
      <cdr:y>0.06519</cdr:y>
    </cdr:from>
    <cdr:to>
      <cdr:x>0.97111</cdr:x>
      <cdr:y>0.49481</cdr:y>
    </cdr:to>
    <cdr:cxnSp macro="">
      <cdr:nvCxnSpPr>
        <cdr:cNvPr id="32" name="Straight Connector 31">
          <a:extLst xmlns:a="http://schemas.openxmlformats.org/drawingml/2006/main">
            <a:ext uri="{FF2B5EF4-FFF2-40B4-BE49-F238E27FC236}">
              <a16:creationId xmlns:a16="http://schemas.microsoft.com/office/drawing/2014/main" id="{7DC180F2-C9BA-431E-B38F-0C6A97F1C983}"/>
            </a:ext>
          </a:extLst>
        </cdr:cNvPr>
        <cdr:cNvCxnSpPr/>
      </cdr:nvCxnSpPr>
      <cdr:spPr>
        <a:xfrm xmlns:a="http://schemas.openxmlformats.org/drawingml/2006/main">
          <a:off x="5892800" y="558800"/>
          <a:ext cx="5207000" cy="3683000"/>
        </a:xfrm>
        <a:prstGeom xmlns:a="http://schemas.openxmlformats.org/drawingml/2006/main" prst="line">
          <a:avLst/>
        </a:prstGeom>
        <a:ln xmlns:a="http://schemas.openxmlformats.org/drawingml/2006/main" w="9525" cap="flat" cmpd="sng" algn="ctr">
          <a:solidFill>
            <a:schemeClr val="bg1">
              <a:lumMod val="100000"/>
            </a:schemeClr>
          </a:solidFill>
          <a:prstDash val="dash"/>
          <a:round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0.06</cdr:x>
      <cdr:y>0.49481</cdr:y>
    </cdr:from>
    <cdr:to>
      <cdr:x>0.51556</cdr:x>
      <cdr:y>0.92444</cdr:y>
    </cdr:to>
    <cdr:cxnSp macro="">
      <cdr:nvCxnSpPr>
        <cdr:cNvPr id="33" name="Straight Connector 32">
          <a:extLst xmlns:a="http://schemas.openxmlformats.org/drawingml/2006/main">
            <a:ext uri="{FF2B5EF4-FFF2-40B4-BE49-F238E27FC236}">
              <a16:creationId xmlns:a16="http://schemas.microsoft.com/office/drawing/2014/main" id="{2DD57306-E9C4-44FF-8EA3-0C03F2193CBF}"/>
            </a:ext>
          </a:extLst>
        </cdr:cNvPr>
        <cdr:cNvCxnSpPr/>
      </cdr:nvCxnSpPr>
      <cdr:spPr>
        <a:xfrm xmlns:a="http://schemas.openxmlformats.org/drawingml/2006/main">
          <a:off x="685800" y="4241800"/>
          <a:ext cx="5207000" cy="3683000"/>
        </a:xfrm>
        <a:prstGeom xmlns:a="http://schemas.openxmlformats.org/drawingml/2006/main" prst="line">
          <a:avLst/>
        </a:prstGeom>
        <a:ln xmlns:a="http://schemas.openxmlformats.org/drawingml/2006/main" w="9525" cap="flat" cmpd="sng" algn="ctr">
          <a:solidFill>
            <a:schemeClr val="bg1">
              <a:lumMod val="100000"/>
            </a:schemeClr>
          </a:solidFill>
          <a:prstDash val="dash"/>
          <a:round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leke Sengstacke" refreshedDate="43587.83228101852" createdVersion="4" refreshedVersion="6" minRefreshableVersion="3" recordCount="105" xr:uid="{00000000-000A-0000-FFFF-FFFF00000000}">
  <cacheSource type="worksheet">
    <worksheetSource ref="D1:H1048576" sheet="Risk Assessment Data"/>
  </cacheSource>
  <cacheFields count="5">
    <cacheField name="Probability " numFmtId="0">
      <sharedItems containsString="0" containsBlank="1" containsNumber="1" containsInteger="1" minValue="10" maxValue="50" count="7">
        <n v="10"/>
        <n v="40"/>
        <n v="20"/>
        <m/>
        <n v="50" u="1"/>
        <n v="25" u="1"/>
        <n v="30" u="1"/>
      </sharedItems>
    </cacheField>
    <cacheField name="Impact" numFmtId="0">
      <sharedItems containsString="0" containsBlank="1" containsNumber="1" containsInteger="1" minValue="10" maxValue="50" count="6">
        <n v="40"/>
        <n v="30"/>
        <n v="20"/>
        <n v="10"/>
        <m/>
        <n v="50" u="1"/>
      </sharedItems>
    </cacheField>
    <cacheField name="Risk Factor" numFmtId="0">
      <sharedItems containsString="0" containsBlank="1" containsNumber="1" containsInteger="1" minValue="100" maxValue="1600"/>
    </cacheField>
    <cacheField name="Concat" numFmtId="0">
      <sharedItems containsBlank="1"/>
    </cacheField>
    <cacheField name="RiskID" numFmtId="0">
      <sharedItems containsString="0" containsBlank="1" containsNumber="1" containsInteger="1" minValue="1" maxValue="400" count="401">
        <n v="1"/>
        <n v="2"/>
        <n v="3"/>
        <n v="4"/>
        <n v="5"/>
        <n v="6"/>
        <n v="7"/>
        <n v="8"/>
        <m/>
        <n v="96" u="1"/>
        <n v="135" u="1"/>
        <n v="206" u="1"/>
        <n v="298" u="1"/>
        <n v="369" u="1"/>
        <n v="57" u="1"/>
        <n v="121" u="1"/>
        <n v="185" u="1"/>
        <n v="256" u="1"/>
        <n v="327" u="1"/>
        <n v="398" u="1"/>
        <n v="34" u="1"/>
        <n v="75" u="1"/>
        <n v="164" u="1"/>
        <n v="235" u="1"/>
        <n v="285" u="1"/>
        <n v="356" u="1"/>
        <n v="100" u="1"/>
        <n v="143" u="1"/>
        <n v="214" u="1"/>
        <n v="314" u="1"/>
        <n v="385" u="1"/>
        <n v="13" u="1"/>
        <n v="59" u="1"/>
        <n v="125" u="1"/>
        <n v="193" u="1"/>
        <n v="272" u="1"/>
        <n v="343" u="1"/>
        <n v="36" u="1"/>
        <n v="79" u="1"/>
        <n v="172" u="1"/>
        <n v="243" u="1"/>
        <n v="301" u="1"/>
        <n v="372" u="1"/>
        <n v="104" u="1"/>
        <n v="151" u="1"/>
        <n v="222" u="1"/>
        <n v="259" u="1"/>
        <n v="330" u="1"/>
        <n v="61" u="1"/>
        <n v="130" u="1"/>
        <n v="201" u="1"/>
        <n v="288" u="1"/>
        <n v="359" u="1"/>
        <n v="38" u="1"/>
        <n v="83" u="1"/>
        <n v="180" u="1"/>
        <n v="251" u="1"/>
        <n v="317" u="1"/>
        <n v="388" u="1"/>
        <n v="108" u="1"/>
        <n v="159" u="1"/>
        <n v="230" u="1"/>
        <n v="275" u="1"/>
        <n v="346" u="1"/>
        <n v="14" u="1"/>
        <n v="63" u="1"/>
        <n v="138" u="1"/>
        <n v="209" u="1"/>
        <n v="304" u="1"/>
        <n v="375" u="1"/>
        <n v="40" u="1"/>
        <n v="87" u="1"/>
        <n v="188" u="1"/>
        <n v="262" u="1"/>
        <n v="333" u="1"/>
        <n v="112" u="1"/>
        <n v="167" u="1"/>
        <n v="238" u="1"/>
        <n v="291" u="1"/>
        <n v="362" u="1"/>
        <n v="66" u="1"/>
        <n v="146" u="1"/>
        <n v="217" u="1"/>
        <n v="320" u="1"/>
        <n v="391" u="1"/>
        <n v="42" u="1"/>
        <n v="91" u="1"/>
        <n v="196" u="1"/>
        <n v="278" u="1"/>
        <n v="349" u="1"/>
        <n v="116" u="1"/>
        <n v="175" u="1"/>
        <n v="246" u="1"/>
        <n v="307" u="1"/>
        <n v="378" u="1"/>
        <n v="15" u="1"/>
        <n v="70" u="1"/>
        <n v="154" u="1"/>
        <n v="225" u="1"/>
        <n v="265" u="1"/>
        <n v="336" u="1"/>
        <n v="44" u="1"/>
        <n v="95" u="1"/>
        <n v="133" u="1"/>
        <n v="204" u="1"/>
        <n v="294" u="1"/>
        <n v="365" u="1"/>
        <n v="120" u="1"/>
        <n v="183" u="1"/>
        <n v="254" u="1"/>
        <n v="323" u="1"/>
        <n v="394" u="1"/>
        <n v="74" u="1"/>
        <n v="162" u="1"/>
        <n v="233" u="1"/>
        <n v="281" u="1"/>
        <n v="352" u="1"/>
        <n v="46" u="1"/>
        <n v="99" u="1"/>
        <n v="141" u="1"/>
        <n v="212" u="1"/>
        <n v="310" u="1"/>
        <n v="381" u="1"/>
        <n v="124" u="1"/>
        <n v="191" u="1"/>
        <n v="268" u="1"/>
        <n v="339" u="1"/>
        <n v="16" u="1"/>
        <n v="78" u="1"/>
        <n v="170" u="1"/>
        <n v="241" u="1"/>
        <n v="297" u="1"/>
        <n v="368" u="1"/>
        <n v="48" u="1"/>
        <n v="103" u="1"/>
        <n v="149" u="1"/>
        <n v="220" u="1"/>
        <n v="326" u="1"/>
        <n v="397" u="1"/>
        <n v="128" u="1"/>
        <n v="199" u="1"/>
        <n v="284" u="1"/>
        <n v="355" u="1"/>
        <n v="17" u="1"/>
        <n v="82" u="1"/>
        <n v="178" u="1"/>
        <n v="249" u="1"/>
        <n v="313" u="1"/>
        <n v="384" u="1"/>
        <n v="50" u="1"/>
        <n v="107" u="1"/>
        <n v="157" u="1"/>
        <n v="228" u="1"/>
        <n v="271" u="1"/>
        <n v="342" u="1"/>
        <n v="136" u="1"/>
        <n v="207" u="1"/>
        <n v="300" u="1"/>
        <n v="371" u="1"/>
        <n v="18" u="1"/>
        <n v="86" u="1"/>
        <n v="186" u="1"/>
        <n v="258" u="1"/>
        <n v="329" u="1"/>
        <n v="400" u="1"/>
        <n v="52" u="1"/>
        <n v="111" u="1"/>
        <n v="165" u="1"/>
        <n v="236" u="1"/>
        <n v="287" u="1"/>
        <n v="358" u="1"/>
        <n v="65" u="1"/>
        <n v="144" u="1"/>
        <n v="215" u="1"/>
        <n v="316" u="1"/>
        <n v="387" u="1"/>
        <n v="19" u="1"/>
        <n v="90" u="1"/>
        <n v="194" u="1"/>
        <n v="274" u="1"/>
        <n v="345" u="1"/>
        <n v="54" u="1"/>
        <n v="115" u="1"/>
        <n v="173" u="1"/>
        <n v="244" u="1"/>
        <n v="303" u="1"/>
        <n v="374" u="1"/>
        <n v="69" u="1"/>
        <n v="152" u="1"/>
        <n v="223" u="1"/>
        <n v="261" u="1"/>
        <n v="332" u="1"/>
        <n v="20" u="1"/>
        <n v="94" u="1"/>
        <n v="131" u="1"/>
        <n v="202" u="1"/>
        <n v="290" u="1"/>
        <n v="361" u="1"/>
        <n v="56" u="1"/>
        <n v="119" u="1"/>
        <n v="181" u="1"/>
        <n v="252" u="1"/>
        <n v="319" u="1"/>
        <n v="390" u="1"/>
        <n v="33" u="1"/>
        <n v="73" u="1"/>
        <n v="160" u="1"/>
        <n v="231" u="1"/>
        <n v="277" u="1"/>
        <n v="348" u="1"/>
        <n v="21" u="1"/>
        <n v="98" u="1"/>
        <n v="139" u="1"/>
        <n v="210" u="1"/>
        <n v="306" u="1"/>
        <n v="377" u="1"/>
        <n v="58" u="1"/>
        <n v="123" u="1"/>
        <n v="189" u="1"/>
        <n v="264" u="1"/>
        <n v="335" u="1"/>
        <n v="35" u="1"/>
        <n v="77" u="1"/>
        <n v="168" u="1"/>
        <n v="239" u="1"/>
        <n v="293" u="1"/>
        <n v="364" u="1"/>
        <n v="22" u="1"/>
        <n v="102" u="1"/>
        <n v="147" u="1"/>
        <n v="218" u="1"/>
        <n v="322" u="1"/>
        <n v="393" u="1"/>
        <n v="60" u="1"/>
        <n v="127" u="1"/>
        <n v="197" u="1"/>
        <n v="280" u="1"/>
        <n v="351" u="1"/>
        <n v="37" u="1"/>
        <n v="81" u="1"/>
        <n v="176" u="1"/>
        <n v="247" u="1"/>
        <n v="309" u="1"/>
        <n v="380" u="1"/>
        <n v="23" u="1"/>
        <n v="106" u="1"/>
        <n v="155" u="1"/>
        <n v="226" u="1"/>
        <n v="267" u="1"/>
        <n v="338" u="1"/>
        <n v="62" u="1"/>
        <n v="134" u="1"/>
        <n v="205" u="1"/>
        <n v="296" u="1"/>
        <n v="367" u="1"/>
        <n v="39" u="1"/>
        <n v="85" u="1"/>
        <n v="184" u="1"/>
        <n v="255" u="1"/>
        <n v="325" u="1"/>
        <n v="396" u="1"/>
        <n v="24" u="1"/>
        <n v="110" u="1"/>
        <n v="163" u="1"/>
        <n v="234" u="1"/>
        <n v="283" u="1"/>
        <n v="354" u="1"/>
        <n v="64" u="1"/>
        <n v="142" u="1"/>
        <n v="213" u="1"/>
        <n v="312" u="1"/>
        <n v="383" u="1"/>
        <n v="41" u="1"/>
        <n v="89" u="1"/>
        <n v="192" u="1"/>
        <n v="270" u="1"/>
        <n v="341" u="1"/>
        <n v="25" u="1"/>
        <n v="114" u="1"/>
        <n v="171" u="1"/>
        <n v="242" u="1"/>
        <n v="299" u="1"/>
        <n v="370" u="1"/>
        <n v="68" u="1"/>
        <n v="150" u="1"/>
        <n v="221" u="1"/>
        <n v="257" u="1"/>
        <n v="328" u="1"/>
        <n v="399" u="1"/>
        <n v="9" u="1"/>
        <n v="43" u="1"/>
        <n v="93" u="1"/>
        <n v="129" u="1"/>
        <n v="200" u="1"/>
        <n v="286" u="1"/>
        <n v="357" u="1"/>
        <n v="26" u="1"/>
        <n v="118" u="1"/>
        <n v="179" u="1"/>
        <n v="250" u="1"/>
        <n v="315" u="1"/>
        <n v="386" u="1"/>
        <n v="72" u="1"/>
        <n v="158" u="1"/>
        <n v="229" u="1"/>
        <n v="273" u="1"/>
        <n v="344" u="1"/>
        <n v="45" u="1"/>
        <n v="97" u="1"/>
        <n v="137" u="1"/>
        <n v="208" u="1"/>
        <n v="302" u="1"/>
        <n v="373" u="1"/>
        <n v="27" u="1"/>
        <n v="122" u="1"/>
        <n v="187" u="1"/>
        <n v="260" u="1"/>
        <n v="331" u="1"/>
        <n v="76" u="1"/>
        <n v="166" u="1"/>
        <n v="237" u="1"/>
        <n v="289" u="1"/>
        <n v="360" u="1"/>
        <n v="10" u="1"/>
        <n v="47" u="1"/>
        <n v="101" u="1"/>
        <n v="145" u="1"/>
        <n v="216" u="1"/>
        <n v="318" u="1"/>
        <n v="389" u="1"/>
        <n v="28" u="1"/>
        <n v="126" u="1"/>
        <n v="195" u="1"/>
        <n v="276" u="1"/>
        <n v="347" u="1"/>
        <n v="80" u="1"/>
        <n v="174" u="1"/>
        <n v="245" u="1"/>
        <n v="305" u="1"/>
        <n v="376" u="1"/>
        <n v="49" u="1"/>
        <n v="105" u="1"/>
        <n v="153" u="1"/>
        <n v="224" u="1"/>
        <n v="263" u="1"/>
        <n v="334" u="1"/>
        <n v="29" u="1"/>
        <n v="132" u="1"/>
        <n v="203" u="1"/>
        <n v="292" u="1"/>
        <n v="363" u="1"/>
        <n v="84" u="1"/>
        <n v="182" u="1"/>
        <n v="253" u="1"/>
        <n v="321" u="1"/>
        <n v="392" u="1"/>
        <n v="11" u="1"/>
        <n v="51" u="1"/>
        <n v="109" u="1"/>
        <n v="161" u="1"/>
        <n v="232" u="1"/>
        <n v="279" u="1"/>
        <n v="350" u="1"/>
        <n v="30" u="1"/>
        <n v="140" u="1"/>
        <n v="211" u="1"/>
        <n v="308" u="1"/>
        <n v="379" u="1"/>
        <n v="88" u="1"/>
        <n v="190" u="1"/>
        <n v="266" u="1"/>
        <n v="337" u="1"/>
        <n v="53" u="1"/>
        <n v="113" u="1"/>
        <n v="169" u="1"/>
        <n v="240" u="1"/>
        <n v="295" u="1"/>
        <n v="366" u="1"/>
        <n v="31" u="1"/>
        <n v="67" u="1"/>
        <n v="148" u="1"/>
        <n v="219" u="1"/>
        <n v="324" u="1"/>
        <n v="395" u="1"/>
        <n v="92" u="1"/>
        <n v="198" u="1"/>
        <n v="282" u="1"/>
        <n v="353" u="1"/>
        <n v="12" u="1"/>
        <n v="55" u="1"/>
        <n v="117" u="1"/>
        <n v="177" u="1"/>
        <n v="248" u="1"/>
        <n v="311" u="1"/>
        <n v="382" u="1"/>
        <n v="32" u="1"/>
        <n v="71" u="1"/>
        <n v="156" u="1"/>
        <n v="227" u="1"/>
        <n v="269" u="1"/>
        <n v="34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5">
  <r>
    <x v="0"/>
    <x v="0"/>
    <n v="400"/>
    <s v="1040"/>
    <x v="0"/>
  </r>
  <r>
    <x v="1"/>
    <x v="1"/>
    <n v="1200"/>
    <s v="4030"/>
    <x v="1"/>
  </r>
  <r>
    <x v="1"/>
    <x v="0"/>
    <n v="1600"/>
    <s v="4040"/>
    <x v="2"/>
  </r>
  <r>
    <x v="0"/>
    <x v="2"/>
    <n v="200"/>
    <s v="1020"/>
    <x v="3"/>
  </r>
  <r>
    <x v="0"/>
    <x v="1"/>
    <n v="300"/>
    <s v="1030"/>
    <x v="4"/>
  </r>
  <r>
    <x v="0"/>
    <x v="3"/>
    <n v="100"/>
    <s v="1010"/>
    <x v="5"/>
  </r>
  <r>
    <x v="0"/>
    <x v="2"/>
    <n v="200"/>
    <s v="1020"/>
    <x v="6"/>
  </r>
  <r>
    <x v="0"/>
    <x v="1"/>
    <n v="300"/>
    <s v="1030"/>
    <x v="7"/>
  </r>
  <r>
    <x v="2"/>
    <x v="1"/>
    <n v="600"/>
    <s v="2030"/>
    <x v="7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  <r>
    <x v="3"/>
    <x v="4"/>
    <m/>
    <m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RiskData" cacheId="123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4" indent="0" compact="0" compactData="0" gridDropZones="1" multipleFieldFilters="0">
  <location ref="AR49:QD57" firstHeaderRow="1" firstDataRow="2" firstDataCol="2"/>
  <pivotFields count="5">
    <pivotField axis="axisRow" compact="0" outline="0" showAll="0">
      <items count="8">
        <item x="0"/>
        <item x="2"/>
        <item m="1" x="6"/>
        <item x="1"/>
        <item m="1" x="4"/>
        <item h="1" x="3"/>
        <item h="1" m="1" x="5"/>
        <item t="default"/>
      </items>
    </pivotField>
    <pivotField axis="axisRow" compact="0" outline="0" showAll="0" defaultSubtotal="0">
      <items count="6">
        <item x="3"/>
        <item x="2"/>
        <item x="1"/>
        <item x="0"/>
        <item m="1" x="5"/>
        <item h="1" x="4"/>
      </items>
    </pivotField>
    <pivotField compact="0" outline="0" showAll="0"/>
    <pivotField compact="0" outline="0" showAll="0" defaultSubtotal="0"/>
    <pivotField axis="axisCol" dataField="1" compact="0" outline="0">
      <items count="402">
        <item x="0"/>
        <item x="1"/>
        <item x="2"/>
        <item x="3"/>
        <item x="4"/>
        <item x="5"/>
        <item x="6"/>
        <item x="7"/>
        <item m="1" x="289"/>
        <item m="1" x="323"/>
        <item m="1" x="356"/>
        <item m="1" x="388"/>
        <item m="1" x="31"/>
        <item m="1" x="64"/>
        <item m="1" x="95"/>
        <item m="1" x="127"/>
        <item m="1" x="143"/>
        <item m="1" x="159"/>
        <item m="1" x="176"/>
        <item m="1" x="192"/>
        <item m="1" x="210"/>
        <item m="1" x="227"/>
        <item m="1" x="244"/>
        <item m="1" x="261"/>
        <item m="1" x="277"/>
        <item m="1" x="296"/>
        <item m="1" x="313"/>
        <item m="1" x="330"/>
        <item m="1" x="346"/>
        <item m="1" x="363"/>
        <item m="1" x="378"/>
        <item m="1" x="395"/>
        <item m="1" x="204"/>
        <item m="1" x="20"/>
        <item m="1" x="221"/>
        <item m="1" x="37"/>
        <item m="1" x="238"/>
        <item m="1" x="53"/>
        <item m="1" x="255"/>
        <item m="1" x="70"/>
        <item m="1" x="272"/>
        <item m="1" x="85"/>
        <item m="1" x="290"/>
        <item m="1" x="101"/>
        <item m="1" x="307"/>
        <item m="1" x="117"/>
        <item m="1" x="324"/>
        <item m="1" x="133"/>
        <item m="1" x="340"/>
        <item m="1" x="149"/>
        <item m="1" x="357"/>
        <item m="1" x="165"/>
        <item m="1" x="372"/>
        <item m="1" x="181"/>
        <item m="1" x="389"/>
        <item m="1" x="198"/>
        <item m="1" x="14"/>
        <item m="1" x="216"/>
        <item m="1" x="32"/>
        <item m="1" x="233"/>
        <item m="1" x="48"/>
        <item m="1" x="250"/>
        <item m="1" x="65"/>
        <item m="1" x="267"/>
        <item m="1" x="171"/>
        <item m="1" x="80"/>
        <item m="1" x="379"/>
        <item m="1" x="283"/>
        <item m="1" x="187"/>
        <item m="1" x="96"/>
        <item m="1" x="396"/>
        <item m="1" x="302"/>
        <item m="1" x="205"/>
        <item m="1" x="112"/>
        <item m="1" x="21"/>
        <item m="1" x="318"/>
        <item m="1" x="222"/>
        <item m="1" x="128"/>
        <item m="1" x="38"/>
        <item m="1" x="335"/>
        <item m="1" x="239"/>
        <item m="1" x="144"/>
        <item m="1" x="54"/>
        <item m="1" x="351"/>
        <item m="1" x="256"/>
        <item m="1" x="160"/>
        <item m="1" x="71"/>
        <item m="1" x="368"/>
        <item m="1" x="273"/>
        <item m="1" x="177"/>
        <item m="1" x="86"/>
        <item m="1" x="384"/>
        <item m="1" x="291"/>
        <item m="1" x="193"/>
        <item m="1" x="102"/>
        <item m="1" x="9"/>
        <item m="1" x="308"/>
        <item m="1" x="211"/>
        <item m="1" x="118"/>
        <item m="1" x="26"/>
        <item m="1" x="325"/>
        <item m="1" x="228"/>
        <item m="1" x="134"/>
        <item m="1" x="43"/>
        <item m="1" x="341"/>
        <item m="1" x="245"/>
        <item m="1" x="150"/>
        <item m="1" x="59"/>
        <item m="1" x="358"/>
        <item m="1" x="262"/>
        <item m="1" x="166"/>
        <item m="1" x="75"/>
        <item m="1" x="373"/>
        <item m="1" x="278"/>
        <item m="1" x="182"/>
        <item m="1" x="90"/>
        <item m="1" x="390"/>
        <item m="1" x="297"/>
        <item m="1" x="199"/>
        <item m="1" x="107"/>
        <item m="1" x="15"/>
        <item m="1" x="314"/>
        <item m="1" x="217"/>
        <item m="1" x="123"/>
        <item m="1" x="33"/>
        <item m="1" x="331"/>
        <item m="1" x="234"/>
        <item m="1" x="139"/>
        <item m="1" x="292"/>
        <item m="1" x="49"/>
        <item m="1" x="194"/>
        <item m="1" x="347"/>
        <item m="1" x="103"/>
        <item m="1" x="251"/>
        <item m="1" x="10"/>
        <item m="1" x="155"/>
        <item m="1" x="309"/>
        <item m="1" x="66"/>
        <item m="1" x="212"/>
        <item m="1" x="364"/>
        <item m="1" x="119"/>
        <item m="1" x="268"/>
        <item m="1" x="27"/>
        <item m="1" x="172"/>
        <item m="1" x="326"/>
        <item m="1" x="81"/>
        <item m="1" x="229"/>
        <item m="1" x="380"/>
        <item m="1" x="135"/>
        <item m="1" x="284"/>
        <item m="1" x="44"/>
        <item m="1" x="188"/>
        <item m="1" x="342"/>
        <item m="1" x="97"/>
        <item m="1" x="246"/>
        <item m="1" x="397"/>
        <item m="1" x="151"/>
        <item m="1" x="303"/>
        <item m="1" x="60"/>
        <item m="1" x="206"/>
        <item m="1" x="359"/>
        <item m="1" x="113"/>
        <item m="1" x="263"/>
        <item m="1" x="22"/>
        <item m="1" x="167"/>
        <item m="1" x="319"/>
        <item m="1" x="76"/>
        <item m="1" x="223"/>
        <item m="1" x="374"/>
        <item m="1" x="129"/>
        <item m="1" x="279"/>
        <item m="1" x="39"/>
        <item m="1" x="183"/>
        <item m="1" x="336"/>
        <item m="1" x="91"/>
        <item m="1" x="240"/>
        <item m="1" x="391"/>
        <item m="1" x="145"/>
        <item m="1" x="298"/>
        <item m="1" x="55"/>
        <item m="1" x="200"/>
        <item m="1" x="352"/>
        <item m="1" x="108"/>
        <item m="1" x="257"/>
        <item m="1" x="16"/>
        <item m="1" x="161"/>
        <item m="1" x="315"/>
        <item m="1" x="72"/>
        <item m="1" x="218"/>
        <item m="1" x="369"/>
        <item m="1" x="124"/>
        <item m="1" x="274"/>
        <item m="1" x="34"/>
        <item m="1" x="178"/>
        <item m="1" x="332"/>
        <item m="1" x="87"/>
        <item m="1" x="235"/>
        <item m="1" x="385"/>
        <item m="1" x="140"/>
        <item m="1" x="293"/>
        <item m="1" x="50"/>
        <item m="1" x="195"/>
        <item m="1" x="348"/>
        <item m="1" x="104"/>
        <item m="1" x="252"/>
        <item m="1" x="11"/>
        <item m="1" x="156"/>
        <item m="1" x="310"/>
        <item m="1" x="67"/>
        <item m="1" x="213"/>
        <item m="1" x="365"/>
        <item m="1" x="120"/>
        <item m="1" x="269"/>
        <item m="1" x="28"/>
        <item m="1" x="173"/>
        <item m="1" x="327"/>
        <item m="1" x="82"/>
        <item m="1" x="230"/>
        <item m="1" x="381"/>
        <item m="1" x="136"/>
        <item m="1" x="285"/>
        <item m="1" x="45"/>
        <item m="1" x="189"/>
        <item m="1" x="343"/>
        <item m="1" x="98"/>
        <item m="1" x="247"/>
        <item m="1" x="398"/>
        <item m="1" x="152"/>
        <item m="1" x="304"/>
        <item m="1" x="61"/>
        <item m="1" x="207"/>
        <item m="1" x="360"/>
        <item m="1" x="114"/>
        <item m="1" x="264"/>
        <item m="1" x="23"/>
        <item m="1" x="168"/>
        <item m="1" x="320"/>
        <item m="1" x="77"/>
        <item m="1" x="224"/>
        <item m="1" x="375"/>
        <item m="1" x="130"/>
        <item m="1" x="280"/>
        <item m="1" x="40"/>
        <item m="1" x="184"/>
        <item m="1" x="337"/>
        <item m="1" x="92"/>
        <item m="1" x="241"/>
        <item m="1" x="392"/>
        <item m="1" x="146"/>
        <item m="1" x="299"/>
        <item m="1" x="56"/>
        <item m="1" x="201"/>
        <item m="1" x="353"/>
        <item m="1" x="109"/>
        <item m="1" x="258"/>
        <item m="1" x="17"/>
        <item m="1" x="286"/>
        <item m="1" x="162"/>
        <item m="1" x="46"/>
        <item m="1" x="316"/>
        <item m="1" x="190"/>
        <item m="1" x="73"/>
        <item m="1" x="344"/>
        <item m="1" x="219"/>
        <item m="1" x="99"/>
        <item m="1" x="370"/>
        <item m="1" x="248"/>
        <item m="1" x="125"/>
        <item m="1" x="399"/>
        <item m="1" x="275"/>
        <item m="1" x="153"/>
        <item m="1" x="35"/>
        <item m="1" x="305"/>
        <item m="1" x="179"/>
        <item m="1" x="62"/>
        <item m="1" x="333"/>
        <item m="1" x="208"/>
        <item m="1" x="88"/>
        <item m="1" x="361"/>
        <item m="1" x="236"/>
        <item m="1" x="115"/>
        <item m="1" x="386"/>
        <item m="1" x="265"/>
        <item m="1" x="141"/>
        <item m="1" x="24"/>
        <item m="1" x="294"/>
        <item m="1" x="169"/>
        <item m="1" x="51"/>
        <item m="1" x="321"/>
        <item m="1" x="196"/>
        <item m="1" x="78"/>
        <item m="1" x="349"/>
        <item m="1" x="225"/>
        <item m="1" x="105"/>
        <item m="1" x="376"/>
        <item m="1" x="253"/>
        <item m="1" x="131"/>
        <item m="1" x="12"/>
        <item m="1" x="281"/>
        <item m="1" x="157"/>
        <item m="1" x="41"/>
        <item m="1" x="311"/>
        <item m="1" x="185"/>
        <item m="1" x="68"/>
        <item m="1" x="338"/>
        <item m="1" x="214"/>
        <item m="1" x="93"/>
        <item m="1" x="366"/>
        <item m="1" x="242"/>
        <item m="1" x="121"/>
        <item m="1" x="393"/>
        <item m="1" x="270"/>
        <item m="1" x="147"/>
        <item m="1" x="29"/>
        <item m="1" x="300"/>
        <item m="1" x="174"/>
        <item m="1" x="57"/>
        <item m="1" x="328"/>
        <item m="1" x="202"/>
        <item m="1" x="83"/>
        <item m="1" x="354"/>
        <item m="1" x="231"/>
        <item m="1" x="110"/>
        <item m="1" x="382"/>
        <item m="1" x="259"/>
        <item m="1" x="137"/>
        <item m="1" x="18"/>
        <item m="1" x="287"/>
        <item m="1" x="163"/>
        <item m="1" x="47"/>
        <item m="1" x="317"/>
        <item m="1" x="191"/>
        <item m="1" x="74"/>
        <item m="1" x="345"/>
        <item m="1" x="220"/>
        <item m="1" x="100"/>
        <item m="1" x="371"/>
        <item m="1" x="249"/>
        <item m="1" x="126"/>
        <item m="1" x="400"/>
        <item m="1" x="276"/>
        <item m="1" x="154"/>
        <item m="1" x="36"/>
        <item m="1" x="306"/>
        <item m="1" x="180"/>
        <item m="1" x="63"/>
        <item m="1" x="334"/>
        <item m="1" x="209"/>
        <item m="1" x="89"/>
        <item m="1" x="362"/>
        <item m="1" x="237"/>
        <item m="1" x="116"/>
        <item m="1" x="387"/>
        <item m="1" x="266"/>
        <item m="1" x="142"/>
        <item m="1" x="25"/>
        <item m="1" x="295"/>
        <item m="1" x="170"/>
        <item m="1" x="52"/>
        <item m="1" x="322"/>
        <item m="1" x="197"/>
        <item m="1" x="79"/>
        <item m="1" x="350"/>
        <item m="1" x="226"/>
        <item m="1" x="106"/>
        <item m="1" x="377"/>
        <item m="1" x="254"/>
        <item m="1" x="132"/>
        <item m="1" x="13"/>
        <item m="1" x="282"/>
        <item m="1" x="158"/>
        <item m="1" x="42"/>
        <item m="1" x="312"/>
        <item m="1" x="186"/>
        <item m="1" x="69"/>
        <item m="1" x="339"/>
        <item m="1" x="215"/>
        <item m="1" x="94"/>
        <item m="1" x="367"/>
        <item m="1" x="243"/>
        <item m="1" x="122"/>
        <item m="1" x="394"/>
        <item m="1" x="271"/>
        <item m="1" x="148"/>
        <item m="1" x="30"/>
        <item m="1" x="301"/>
        <item m="1" x="175"/>
        <item m="1" x="58"/>
        <item m="1" x="329"/>
        <item m="1" x="203"/>
        <item m="1" x="84"/>
        <item m="1" x="355"/>
        <item m="1" x="232"/>
        <item m="1" x="111"/>
        <item m="1" x="383"/>
        <item m="1" x="260"/>
        <item m="1" x="138"/>
        <item m="1" x="19"/>
        <item m="1" x="288"/>
        <item m="1" x="164"/>
        <item x="8"/>
        <item t="default"/>
      </items>
    </pivotField>
  </pivotFields>
  <rowFields count="2">
    <field x="1"/>
    <field x="0"/>
  </rowFields>
  <rowItems count="7">
    <i>
      <x/>
      <x/>
    </i>
    <i>
      <x v="1"/>
      <x/>
    </i>
    <i>
      <x v="2"/>
      <x/>
    </i>
    <i r="1">
      <x v="1"/>
    </i>
    <i r="1">
      <x v="3"/>
    </i>
    <i>
      <x v="3"/>
      <x/>
    </i>
    <i r="1">
      <x v="3"/>
    </i>
  </rowItems>
  <colFields count="1">
    <field x="4"/>
  </colFields>
  <colItems count="40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</colItems>
  <dataFields count="1">
    <dataField name="Count of RiskID" fld="4" subtotal="count" baseField="0" baseItem="0"/>
  </dataFields>
  <formats count="1">
    <format dxfId="0">
      <pivotArea type="all" dataOnly="0" outline="0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I105"/>
  <sheetViews>
    <sheetView tabSelected="1" zoomScaleNormal="100" workbookViewId="0">
      <pane ySplit="1" topLeftCell="A2" activePane="bottomLeft" state="frozen"/>
      <selection pane="bottomLeft" activeCell="I8" sqref="I8"/>
    </sheetView>
  </sheetViews>
  <sheetFormatPr defaultColWidth="9.109375" defaultRowHeight="10.199999999999999" outlineLevelCol="1" x14ac:dyDescent="0.2"/>
  <cols>
    <col min="1" max="1" width="7.77734375" style="102" bestFit="1" customWidth="1"/>
    <col min="2" max="2" width="63.6640625" style="102" bestFit="1" customWidth="1"/>
    <col min="3" max="3" width="14.88671875" style="111" hidden="1" customWidth="1"/>
    <col min="4" max="4" width="5.88671875" style="102" customWidth="1"/>
    <col min="5" max="5" width="6.5546875" style="102" bestFit="1" customWidth="1"/>
    <col min="6" max="6" width="9.44140625" style="102" bestFit="1" customWidth="1"/>
    <col min="7" max="7" width="6.5546875" style="102" customWidth="1"/>
    <col min="8" max="8" width="5.88671875" style="102" customWidth="1"/>
    <col min="9" max="9" width="8.77734375" style="111" customWidth="1" outlineLevel="1"/>
    <col min="10" max="16384" width="9.109375" style="102"/>
  </cols>
  <sheetData>
    <row r="1" spans="1:9" ht="20.399999999999999" x14ac:dyDescent="0.2">
      <c r="A1" s="119" t="s">
        <v>0</v>
      </c>
      <c r="B1" s="119" t="s">
        <v>60</v>
      </c>
      <c r="C1" s="121" t="s">
        <v>53</v>
      </c>
      <c r="D1" s="119" t="s">
        <v>85</v>
      </c>
      <c r="E1" s="120" t="s">
        <v>3</v>
      </c>
      <c r="F1" s="120" t="s">
        <v>4</v>
      </c>
      <c r="G1" s="120" t="s">
        <v>52</v>
      </c>
      <c r="H1" s="122" t="s">
        <v>5</v>
      </c>
      <c r="I1" s="123" t="s">
        <v>2</v>
      </c>
    </row>
    <row r="2" spans="1:9" x14ac:dyDescent="0.2">
      <c r="A2" s="103" t="s">
        <v>6</v>
      </c>
      <c r="B2" s="104" t="s">
        <v>84</v>
      </c>
      <c r="C2" s="105"/>
      <c r="D2" s="106">
        <v>10</v>
      </c>
      <c r="E2" s="106">
        <v>40</v>
      </c>
      <c r="F2" s="107">
        <f t="shared" ref="F2:F3" si="0">E2*D2</f>
        <v>400</v>
      </c>
      <c r="G2" s="107" t="str">
        <f t="shared" ref="G2:G3" si="1">+D2&amp;E2</f>
        <v>1040</v>
      </c>
      <c r="H2" s="113">
        <v>1</v>
      </c>
      <c r="I2" s="116">
        <f>VLOOKUP(D2,'Risk Ratings'!$B$6:$I$9,8,0)</f>
        <v>0.25</v>
      </c>
    </row>
    <row r="3" spans="1:9" x14ac:dyDescent="0.2">
      <c r="A3" s="103" t="s">
        <v>7</v>
      </c>
      <c r="B3" s="104" t="s">
        <v>61</v>
      </c>
      <c r="C3" s="105"/>
      <c r="D3" s="106">
        <v>40</v>
      </c>
      <c r="E3" s="106">
        <v>30</v>
      </c>
      <c r="F3" s="107">
        <f t="shared" si="0"/>
        <v>1200</v>
      </c>
      <c r="G3" s="107" t="str">
        <f t="shared" si="1"/>
        <v>4030</v>
      </c>
      <c r="H3" s="113">
        <v>2</v>
      </c>
      <c r="I3" s="116">
        <f>VLOOKUP(D3,'Risk Ratings'!$B$6:$I$9,8,0)</f>
        <v>1</v>
      </c>
    </row>
    <row r="4" spans="1:9" x14ac:dyDescent="0.2">
      <c r="A4" s="103" t="s">
        <v>8</v>
      </c>
      <c r="B4" s="104" t="s">
        <v>62</v>
      </c>
      <c r="C4" s="105"/>
      <c r="D4" s="106">
        <v>40</v>
      </c>
      <c r="E4" s="106">
        <v>40</v>
      </c>
      <c r="F4" s="107">
        <f t="shared" ref="F4" si="2">E4*D4</f>
        <v>1600</v>
      </c>
      <c r="G4" s="107" t="str">
        <f t="shared" ref="G4" si="3">+D4&amp;E4</f>
        <v>4040</v>
      </c>
      <c r="H4" s="113">
        <v>3</v>
      </c>
      <c r="I4" s="116">
        <f>VLOOKUP(D4,'Risk Ratings'!$B$6:$I$9,8,0)</f>
        <v>1</v>
      </c>
    </row>
    <row r="5" spans="1:9" x14ac:dyDescent="0.2">
      <c r="A5" s="103" t="s">
        <v>9</v>
      </c>
      <c r="B5" s="104" t="s">
        <v>63</v>
      </c>
      <c r="C5" s="105"/>
      <c r="D5" s="106">
        <v>10</v>
      </c>
      <c r="E5" s="106">
        <v>20</v>
      </c>
      <c r="F5" s="107">
        <f t="shared" ref="F5:F9" si="4">E5*D5</f>
        <v>200</v>
      </c>
      <c r="G5" s="107" t="str">
        <f t="shared" ref="G5:G9" si="5">+D5&amp;E5</f>
        <v>1020</v>
      </c>
      <c r="H5" s="113">
        <v>4</v>
      </c>
      <c r="I5" s="116">
        <f>VLOOKUP(D5,'Risk Ratings'!$B$6:$I$9,8,0)</f>
        <v>0.25</v>
      </c>
    </row>
    <row r="6" spans="1:9" x14ac:dyDescent="0.2">
      <c r="A6" s="103" t="s">
        <v>10</v>
      </c>
      <c r="B6" s="104" t="s">
        <v>64</v>
      </c>
      <c r="C6" s="105"/>
      <c r="D6" s="106">
        <v>10</v>
      </c>
      <c r="E6" s="106">
        <v>30</v>
      </c>
      <c r="F6" s="107">
        <f t="shared" si="4"/>
        <v>300</v>
      </c>
      <c r="G6" s="107" t="str">
        <f t="shared" si="5"/>
        <v>1030</v>
      </c>
      <c r="H6" s="113">
        <v>5</v>
      </c>
      <c r="I6" s="116">
        <f>VLOOKUP(D6,'Risk Ratings'!$B$6:$I$9,8,0)</f>
        <v>0.25</v>
      </c>
    </row>
    <row r="7" spans="1:9" x14ac:dyDescent="0.2">
      <c r="A7" s="103" t="s">
        <v>11</v>
      </c>
      <c r="B7" s="104" t="s">
        <v>65</v>
      </c>
      <c r="C7" s="105"/>
      <c r="D7" s="106">
        <v>10</v>
      </c>
      <c r="E7" s="106">
        <v>10</v>
      </c>
      <c r="F7" s="107">
        <f t="shared" si="4"/>
        <v>100</v>
      </c>
      <c r="G7" s="107" t="str">
        <f t="shared" si="5"/>
        <v>1010</v>
      </c>
      <c r="H7" s="114">
        <v>6</v>
      </c>
      <c r="I7" s="116">
        <f>VLOOKUP(D7,'Risk Ratings'!$B$6:$I$9,8,0)</f>
        <v>0.25</v>
      </c>
    </row>
    <row r="8" spans="1:9" x14ac:dyDescent="0.2">
      <c r="A8" s="103" t="s">
        <v>12</v>
      </c>
      <c r="B8" s="104" t="s">
        <v>66</v>
      </c>
      <c r="C8" s="105"/>
      <c r="D8" s="106">
        <v>10</v>
      </c>
      <c r="E8" s="106">
        <v>20</v>
      </c>
      <c r="F8" s="107">
        <f t="shared" si="4"/>
        <v>200</v>
      </c>
      <c r="G8" s="107" t="str">
        <f t="shared" si="5"/>
        <v>1020</v>
      </c>
      <c r="H8" s="114">
        <v>7</v>
      </c>
      <c r="I8" s="116">
        <f>VLOOKUP(D8,'Risk Ratings'!$B$6:$I$9,8,0)</f>
        <v>0.25</v>
      </c>
    </row>
    <row r="9" spans="1:9" x14ac:dyDescent="0.2">
      <c r="A9" s="103" t="s">
        <v>13</v>
      </c>
      <c r="B9" s="104" t="s">
        <v>83</v>
      </c>
      <c r="C9" s="105"/>
      <c r="D9" s="106">
        <v>10</v>
      </c>
      <c r="E9" s="106">
        <v>30</v>
      </c>
      <c r="F9" s="107">
        <f t="shared" si="4"/>
        <v>300</v>
      </c>
      <c r="G9" s="107" t="str">
        <f t="shared" si="5"/>
        <v>1030</v>
      </c>
      <c r="H9" s="114">
        <v>8</v>
      </c>
      <c r="I9" s="116">
        <f>VLOOKUP(D9,'Risk Ratings'!$B$6:$I$9,8,0)</f>
        <v>0.25</v>
      </c>
    </row>
    <row r="10" spans="1:9" x14ac:dyDescent="0.2">
      <c r="A10" s="103" t="s">
        <v>14</v>
      </c>
      <c r="B10" s="104" t="s">
        <v>67</v>
      </c>
      <c r="C10" s="105"/>
      <c r="D10" s="106">
        <v>20</v>
      </c>
      <c r="E10" s="106">
        <v>30</v>
      </c>
      <c r="F10" s="107">
        <f t="shared" ref="F10" si="6">E10*D10</f>
        <v>600</v>
      </c>
      <c r="G10" s="107" t="str">
        <f t="shared" ref="G10" si="7">+D10&amp;E10</f>
        <v>2030</v>
      </c>
      <c r="H10" s="114">
        <v>8</v>
      </c>
      <c r="I10" s="116">
        <f>VLOOKUP(D10,'Risk Ratings'!$B$6:$I$9,8,0)</f>
        <v>0.5</v>
      </c>
    </row>
    <row r="11" spans="1:9" x14ac:dyDescent="0.2">
      <c r="A11" s="103"/>
      <c r="B11" s="104"/>
      <c r="C11" s="105"/>
      <c r="D11" s="106"/>
      <c r="E11" s="106"/>
      <c r="F11" s="107"/>
      <c r="G11" s="107"/>
      <c r="H11" s="114"/>
      <c r="I11" s="117"/>
    </row>
    <row r="12" spans="1:9" x14ac:dyDescent="0.2">
      <c r="A12" s="103"/>
      <c r="B12" s="104"/>
      <c r="C12" s="105"/>
      <c r="D12" s="106"/>
      <c r="E12" s="106"/>
      <c r="F12" s="107"/>
      <c r="G12" s="107"/>
      <c r="H12" s="114"/>
      <c r="I12" s="117"/>
    </row>
    <row r="13" spans="1:9" x14ac:dyDescent="0.2">
      <c r="A13" s="103"/>
      <c r="B13" s="104"/>
      <c r="C13" s="105"/>
      <c r="D13" s="106"/>
      <c r="E13" s="106"/>
      <c r="F13" s="107"/>
      <c r="G13" s="107"/>
      <c r="H13" s="114"/>
      <c r="I13" s="117"/>
    </row>
    <row r="14" spans="1:9" x14ac:dyDescent="0.2">
      <c r="A14" s="103"/>
      <c r="B14" s="104"/>
      <c r="C14" s="105"/>
      <c r="D14" s="106"/>
      <c r="E14" s="106"/>
      <c r="F14" s="107"/>
      <c r="G14" s="107"/>
      <c r="H14" s="114"/>
      <c r="I14" s="117"/>
    </row>
    <row r="15" spans="1:9" x14ac:dyDescent="0.2">
      <c r="A15" s="103"/>
      <c r="B15" s="104"/>
      <c r="C15" s="105"/>
      <c r="D15" s="106"/>
      <c r="E15" s="106"/>
      <c r="F15" s="107"/>
      <c r="G15" s="107"/>
      <c r="H15" s="114"/>
      <c r="I15" s="117"/>
    </row>
    <row r="16" spans="1:9" x14ac:dyDescent="0.2">
      <c r="A16" s="103"/>
      <c r="B16" s="104"/>
      <c r="C16" s="105"/>
      <c r="D16" s="106"/>
      <c r="E16" s="106"/>
      <c r="F16" s="107"/>
      <c r="G16" s="107"/>
      <c r="H16" s="114"/>
      <c r="I16" s="117"/>
    </row>
    <row r="17" spans="1:9" x14ac:dyDescent="0.2">
      <c r="A17" s="103"/>
      <c r="B17" s="104"/>
      <c r="C17" s="105"/>
      <c r="D17" s="106"/>
      <c r="E17" s="106"/>
      <c r="F17" s="107"/>
      <c r="G17" s="107"/>
      <c r="H17" s="114"/>
      <c r="I17" s="117"/>
    </row>
    <row r="18" spans="1:9" x14ac:dyDescent="0.2">
      <c r="A18" s="103"/>
      <c r="B18" s="104"/>
      <c r="C18" s="105"/>
      <c r="D18" s="106"/>
      <c r="E18" s="106"/>
      <c r="F18" s="107"/>
      <c r="G18" s="107"/>
      <c r="H18" s="114"/>
      <c r="I18" s="117"/>
    </row>
    <row r="19" spans="1:9" x14ac:dyDescent="0.2">
      <c r="A19" s="103"/>
      <c r="B19" s="104"/>
      <c r="C19" s="105"/>
      <c r="D19" s="106"/>
      <c r="E19" s="106"/>
      <c r="F19" s="107"/>
      <c r="G19" s="107"/>
      <c r="H19" s="114"/>
      <c r="I19" s="117"/>
    </row>
    <row r="20" spans="1:9" x14ac:dyDescent="0.2">
      <c r="A20" s="103"/>
      <c r="B20" s="104"/>
      <c r="C20" s="105"/>
      <c r="D20" s="106"/>
      <c r="E20" s="106"/>
      <c r="F20" s="107"/>
      <c r="G20" s="107"/>
      <c r="H20" s="114"/>
      <c r="I20" s="117"/>
    </row>
    <row r="21" spans="1:9" x14ac:dyDescent="0.2">
      <c r="A21" s="103"/>
      <c r="B21" s="104"/>
      <c r="C21" s="105"/>
      <c r="D21" s="106"/>
      <c r="E21" s="106"/>
      <c r="F21" s="107"/>
      <c r="G21" s="107"/>
      <c r="H21" s="114"/>
      <c r="I21" s="117"/>
    </row>
    <row r="22" spans="1:9" x14ac:dyDescent="0.2">
      <c r="A22" s="103"/>
      <c r="B22" s="104"/>
      <c r="C22" s="105"/>
      <c r="D22" s="106"/>
      <c r="E22" s="106"/>
      <c r="F22" s="107"/>
      <c r="G22" s="107"/>
      <c r="H22" s="114"/>
      <c r="I22" s="117"/>
    </row>
    <row r="23" spans="1:9" x14ac:dyDescent="0.2">
      <c r="A23" s="103"/>
      <c r="B23" s="104"/>
      <c r="C23" s="105"/>
      <c r="D23" s="106"/>
      <c r="E23" s="106"/>
      <c r="F23" s="107"/>
      <c r="G23" s="107"/>
      <c r="H23" s="114"/>
      <c r="I23" s="117"/>
    </row>
    <row r="24" spans="1:9" x14ac:dyDescent="0.2">
      <c r="A24" s="103"/>
      <c r="B24" s="104"/>
      <c r="C24" s="105"/>
      <c r="D24" s="106"/>
      <c r="E24" s="106"/>
      <c r="F24" s="107"/>
      <c r="G24" s="107"/>
      <c r="H24" s="114"/>
      <c r="I24" s="117"/>
    </row>
    <row r="25" spans="1:9" x14ac:dyDescent="0.2">
      <c r="A25" s="103"/>
      <c r="B25" s="104"/>
      <c r="C25" s="105"/>
      <c r="D25" s="106"/>
      <c r="E25" s="106"/>
      <c r="F25" s="107"/>
      <c r="G25" s="107"/>
      <c r="H25" s="114"/>
      <c r="I25" s="117"/>
    </row>
    <row r="26" spans="1:9" x14ac:dyDescent="0.2">
      <c r="A26" s="103"/>
      <c r="B26" s="104"/>
      <c r="C26" s="105"/>
      <c r="D26" s="106"/>
      <c r="E26" s="106"/>
      <c r="F26" s="107"/>
      <c r="G26" s="107"/>
      <c r="H26" s="114"/>
      <c r="I26" s="117"/>
    </row>
    <row r="27" spans="1:9" x14ac:dyDescent="0.2">
      <c r="A27" s="103"/>
      <c r="B27" s="104"/>
      <c r="C27" s="105"/>
      <c r="D27" s="106"/>
      <c r="E27" s="106"/>
      <c r="F27" s="107"/>
      <c r="G27" s="107"/>
      <c r="H27" s="114"/>
      <c r="I27" s="117"/>
    </row>
    <row r="28" spans="1:9" x14ac:dyDescent="0.2">
      <c r="A28" s="103"/>
      <c r="B28" s="104"/>
      <c r="C28" s="105"/>
      <c r="D28" s="106"/>
      <c r="E28" s="106"/>
      <c r="F28" s="107"/>
      <c r="G28" s="107"/>
      <c r="H28" s="114"/>
      <c r="I28" s="117"/>
    </row>
    <row r="29" spans="1:9" x14ac:dyDescent="0.2">
      <c r="A29" s="103"/>
      <c r="B29" s="104"/>
      <c r="C29" s="105"/>
      <c r="D29" s="106"/>
      <c r="E29" s="106"/>
      <c r="F29" s="107"/>
      <c r="G29" s="107"/>
      <c r="H29" s="114"/>
      <c r="I29" s="117"/>
    </row>
    <row r="30" spans="1:9" x14ac:dyDescent="0.2">
      <c r="A30" s="103"/>
      <c r="B30" s="104"/>
      <c r="C30" s="105"/>
      <c r="D30" s="106"/>
      <c r="E30" s="106"/>
      <c r="F30" s="107"/>
      <c r="G30" s="107"/>
      <c r="H30" s="114"/>
      <c r="I30" s="117"/>
    </row>
    <row r="31" spans="1:9" x14ac:dyDescent="0.2">
      <c r="A31" s="103"/>
      <c r="B31" s="104"/>
      <c r="C31" s="105"/>
      <c r="D31" s="106"/>
      <c r="E31" s="106"/>
      <c r="F31" s="107"/>
      <c r="G31" s="107"/>
      <c r="H31" s="114"/>
      <c r="I31" s="117"/>
    </row>
    <row r="32" spans="1:9" x14ac:dyDescent="0.2">
      <c r="A32" s="103"/>
      <c r="B32" s="104"/>
      <c r="C32" s="105"/>
      <c r="D32" s="106"/>
      <c r="E32" s="106"/>
      <c r="F32" s="107"/>
      <c r="G32" s="107"/>
      <c r="H32" s="114"/>
      <c r="I32" s="117"/>
    </row>
    <row r="33" spans="1:9" x14ac:dyDescent="0.2">
      <c r="A33" s="103"/>
      <c r="B33" s="104"/>
      <c r="C33" s="105"/>
      <c r="D33" s="106"/>
      <c r="E33" s="106"/>
      <c r="F33" s="107"/>
      <c r="G33" s="107"/>
      <c r="H33" s="114"/>
      <c r="I33" s="117"/>
    </row>
    <row r="34" spans="1:9" x14ac:dyDescent="0.2">
      <c r="A34" s="103"/>
      <c r="B34" s="104"/>
      <c r="C34" s="105"/>
      <c r="D34" s="106"/>
      <c r="E34" s="106"/>
      <c r="F34" s="107"/>
      <c r="G34" s="107"/>
      <c r="H34" s="114"/>
      <c r="I34" s="117"/>
    </row>
    <row r="35" spans="1:9" x14ac:dyDescent="0.2">
      <c r="A35" s="103"/>
      <c r="B35" s="104"/>
      <c r="C35" s="105"/>
      <c r="D35" s="106"/>
      <c r="E35" s="106"/>
      <c r="F35" s="107"/>
      <c r="G35" s="107"/>
      <c r="H35" s="114"/>
      <c r="I35" s="117"/>
    </row>
    <row r="36" spans="1:9" x14ac:dyDescent="0.2">
      <c r="A36" s="103"/>
      <c r="B36" s="104"/>
      <c r="C36" s="105"/>
      <c r="D36" s="106"/>
      <c r="E36" s="106"/>
      <c r="F36" s="107"/>
      <c r="G36" s="107"/>
      <c r="H36" s="114"/>
      <c r="I36" s="117"/>
    </row>
    <row r="37" spans="1:9" x14ac:dyDescent="0.2">
      <c r="A37" s="103"/>
      <c r="B37" s="104"/>
      <c r="C37" s="105"/>
      <c r="D37" s="106"/>
      <c r="E37" s="106"/>
      <c r="F37" s="107"/>
      <c r="G37" s="107"/>
      <c r="H37" s="114"/>
      <c r="I37" s="117"/>
    </row>
    <row r="38" spans="1:9" x14ac:dyDescent="0.2">
      <c r="A38" s="103"/>
      <c r="B38" s="104"/>
      <c r="C38" s="105"/>
      <c r="D38" s="106"/>
      <c r="E38" s="106"/>
      <c r="F38" s="107"/>
      <c r="G38" s="107"/>
      <c r="H38" s="114"/>
      <c r="I38" s="117"/>
    </row>
    <row r="39" spans="1:9" x14ac:dyDescent="0.2">
      <c r="A39" s="103"/>
      <c r="B39" s="104"/>
      <c r="C39" s="105"/>
      <c r="D39" s="106"/>
      <c r="E39" s="106"/>
      <c r="F39" s="107"/>
      <c r="G39" s="107"/>
      <c r="H39" s="114"/>
      <c r="I39" s="117"/>
    </row>
    <row r="40" spans="1:9" x14ac:dyDescent="0.2">
      <c r="A40" s="103"/>
      <c r="B40" s="104"/>
      <c r="C40" s="105"/>
      <c r="D40" s="106"/>
      <c r="E40" s="106"/>
      <c r="F40" s="107"/>
      <c r="G40" s="107"/>
      <c r="H40" s="114"/>
      <c r="I40" s="117"/>
    </row>
    <row r="41" spans="1:9" x14ac:dyDescent="0.2">
      <c r="A41" s="103"/>
      <c r="B41" s="104"/>
      <c r="C41" s="108"/>
      <c r="F41" s="109"/>
      <c r="G41" s="107"/>
      <c r="H41" s="114"/>
      <c r="I41" s="117"/>
    </row>
    <row r="42" spans="1:9" x14ac:dyDescent="0.2">
      <c r="A42" s="103"/>
      <c r="B42" s="104"/>
      <c r="C42" s="108"/>
      <c r="F42" s="109"/>
      <c r="G42" s="107"/>
      <c r="H42" s="114"/>
      <c r="I42" s="117"/>
    </row>
    <row r="43" spans="1:9" x14ac:dyDescent="0.2">
      <c r="A43" s="103"/>
      <c r="B43" s="104"/>
      <c r="C43" s="108"/>
      <c r="F43" s="109"/>
      <c r="G43" s="107"/>
      <c r="H43" s="114"/>
      <c r="I43" s="117"/>
    </row>
    <row r="44" spans="1:9" x14ac:dyDescent="0.2">
      <c r="A44" s="103"/>
      <c r="B44" s="104"/>
      <c r="C44" s="110"/>
      <c r="F44" s="109"/>
      <c r="G44" s="107"/>
      <c r="H44" s="114"/>
      <c r="I44" s="117"/>
    </row>
    <row r="45" spans="1:9" x14ac:dyDescent="0.2">
      <c r="A45" s="103"/>
      <c r="B45" s="104"/>
      <c r="C45" s="110"/>
      <c r="F45" s="109"/>
      <c r="G45" s="107"/>
      <c r="H45" s="114"/>
      <c r="I45" s="117"/>
    </row>
    <row r="46" spans="1:9" x14ac:dyDescent="0.2">
      <c r="A46" s="103"/>
      <c r="B46" s="104"/>
      <c r="C46" s="110"/>
      <c r="F46" s="109"/>
      <c r="G46" s="107"/>
      <c r="H46" s="114"/>
      <c r="I46" s="117"/>
    </row>
    <row r="47" spans="1:9" x14ac:dyDescent="0.2">
      <c r="A47" s="103"/>
      <c r="B47" s="104"/>
      <c r="C47" s="110"/>
      <c r="F47" s="109"/>
      <c r="G47" s="107"/>
      <c r="H47" s="114"/>
      <c r="I47" s="117"/>
    </row>
    <row r="48" spans="1:9" x14ac:dyDescent="0.2">
      <c r="A48" s="103"/>
      <c r="B48" s="104"/>
      <c r="C48" s="110"/>
      <c r="F48" s="109"/>
      <c r="G48" s="107"/>
      <c r="H48" s="114"/>
      <c r="I48" s="117"/>
    </row>
    <row r="49" spans="1:9" x14ac:dyDescent="0.2">
      <c r="A49" s="103"/>
      <c r="B49" s="104"/>
      <c r="C49" s="110"/>
      <c r="F49" s="109"/>
      <c r="G49" s="107"/>
      <c r="H49" s="114"/>
      <c r="I49" s="117"/>
    </row>
    <row r="50" spans="1:9" x14ac:dyDescent="0.2">
      <c r="A50" s="103"/>
      <c r="B50" s="104"/>
      <c r="C50" s="110"/>
      <c r="F50" s="109"/>
      <c r="G50" s="107"/>
      <c r="H50" s="114"/>
      <c r="I50" s="117"/>
    </row>
    <row r="51" spans="1:9" x14ac:dyDescent="0.2">
      <c r="A51" s="103"/>
      <c r="B51" s="104"/>
      <c r="C51" s="110"/>
      <c r="F51" s="109"/>
      <c r="G51" s="107"/>
      <c r="H51" s="114"/>
      <c r="I51" s="117"/>
    </row>
    <row r="52" spans="1:9" x14ac:dyDescent="0.2">
      <c r="A52" s="103"/>
      <c r="B52" s="104"/>
      <c r="C52" s="110"/>
      <c r="F52" s="109"/>
      <c r="G52" s="107"/>
      <c r="H52" s="114"/>
      <c r="I52" s="117"/>
    </row>
    <row r="53" spans="1:9" x14ac:dyDescent="0.2">
      <c r="A53" s="103"/>
      <c r="B53" s="104"/>
      <c r="C53" s="110"/>
      <c r="F53" s="109"/>
      <c r="G53" s="107"/>
      <c r="H53" s="114"/>
      <c r="I53" s="117"/>
    </row>
    <row r="54" spans="1:9" x14ac:dyDescent="0.2">
      <c r="A54" s="103"/>
      <c r="B54" s="104"/>
      <c r="C54" s="110"/>
      <c r="F54" s="109"/>
      <c r="G54" s="107"/>
      <c r="H54" s="114"/>
      <c r="I54" s="117"/>
    </row>
    <row r="55" spans="1:9" x14ac:dyDescent="0.2">
      <c r="A55" s="103"/>
      <c r="B55" s="104"/>
      <c r="C55" s="110"/>
      <c r="F55" s="109"/>
      <c r="G55" s="107"/>
      <c r="H55" s="114"/>
      <c r="I55" s="117"/>
    </row>
    <row r="56" spans="1:9" x14ac:dyDescent="0.2">
      <c r="A56" s="103"/>
      <c r="B56" s="104"/>
      <c r="C56" s="110"/>
      <c r="F56" s="109"/>
      <c r="G56" s="107"/>
      <c r="H56" s="114"/>
      <c r="I56" s="117"/>
    </row>
    <row r="57" spans="1:9" x14ac:dyDescent="0.2">
      <c r="A57" s="103"/>
      <c r="B57" s="104"/>
      <c r="C57" s="110"/>
      <c r="F57" s="109"/>
      <c r="G57" s="107"/>
      <c r="H57" s="114"/>
      <c r="I57" s="117"/>
    </row>
    <row r="58" spans="1:9" x14ac:dyDescent="0.2">
      <c r="A58" s="103"/>
      <c r="B58" s="104"/>
      <c r="C58" s="110"/>
      <c r="F58" s="109"/>
      <c r="G58" s="107"/>
      <c r="H58" s="114"/>
      <c r="I58" s="117"/>
    </row>
    <row r="59" spans="1:9" x14ac:dyDescent="0.2">
      <c r="A59" s="103"/>
      <c r="B59" s="104"/>
      <c r="C59" s="110"/>
      <c r="F59" s="109"/>
      <c r="G59" s="107"/>
      <c r="H59" s="114"/>
      <c r="I59" s="117"/>
    </row>
    <row r="60" spans="1:9" x14ac:dyDescent="0.2">
      <c r="A60" s="103"/>
      <c r="B60" s="104"/>
      <c r="C60" s="110"/>
      <c r="F60" s="109"/>
      <c r="G60" s="107"/>
      <c r="H60" s="114"/>
      <c r="I60" s="117"/>
    </row>
    <row r="61" spans="1:9" x14ac:dyDescent="0.2">
      <c r="A61" s="103"/>
      <c r="B61" s="104"/>
      <c r="C61" s="110"/>
      <c r="F61" s="109"/>
      <c r="G61" s="107"/>
      <c r="H61" s="114"/>
      <c r="I61" s="117"/>
    </row>
    <row r="62" spans="1:9" x14ac:dyDescent="0.2">
      <c r="A62" s="103"/>
      <c r="B62" s="104"/>
      <c r="C62" s="110"/>
      <c r="F62" s="109"/>
      <c r="G62" s="107"/>
      <c r="H62" s="114"/>
      <c r="I62" s="117"/>
    </row>
    <row r="63" spans="1:9" x14ac:dyDescent="0.2">
      <c r="A63" s="103"/>
      <c r="B63" s="104"/>
      <c r="C63" s="110"/>
      <c r="F63" s="109"/>
      <c r="G63" s="107"/>
      <c r="H63" s="114"/>
      <c r="I63" s="117"/>
    </row>
    <row r="64" spans="1:9" x14ac:dyDescent="0.2">
      <c r="A64" s="103"/>
      <c r="B64" s="104"/>
      <c r="C64" s="110"/>
      <c r="F64" s="109"/>
      <c r="G64" s="107"/>
      <c r="H64" s="114"/>
      <c r="I64" s="117"/>
    </row>
    <row r="65" spans="1:9" x14ac:dyDescent="0.2">
      <c r="A65" s="103"/>
      <c r="B65" s="104"/>
      <c r="C65" s="110"/>
      <c r="F65" s="109"/>
      <c r="G65" s="107"/>
      <c r="H65" s="114"/>
      <c r="I65" s="117"/>
    </row>
    <row r="66" spans="1:9" x14ac:dyDescent="0.2">
      <c r="A66" s="103"/>
      <c r="B66" s="104"/>
      <c r="C66" s="110"/>
      <c r="F66" s="109"/>
      <c r="G66" s="107"/>
      <c r="H66" s="114"/>
      <c r="I66" s="117"/>
    </row>
    <row r="67" spans="1:9" x14ac:dyDescent="0.2">
      <c r="A67" s="103"/>
      <c r="B67" s="104"/>
      <c r="C67" s="110"/>
      <c r="F67" s="109"/>
      <c r="G67" s="107"/>
      <c r="H67" s="114"/>
      <c r="I67" s="117"/>
    </row>
    <row r="68" spans="1:9" x14ac:dyDescent="0.2">
      <c r="A68" s="103"/>
      <c r="B68" s="104"/>
      <c r="C68" s="110"/>
      <c r="F68" s="109"/>
      <c r="G68" s="107"/>
      <c r="H68" s="114"/>
      <c r="I68" s="117"/>
    </row>
    <row r="69" spans="1:9" x14ac:dyDescent="0.2">
      <c r="A69" s="103"/>
      <c r="B69" s="104"/>
      <c r="C69" s="110"/>
      <c r="F69" s="109"/>
      <c r="G69" s="107"/>
      <c r="H69" s="114"/>
      <c r="I69" s="117"/>
    </row>
    <row r="70" spans="1:9" x14ac:dyDescent="0.2">
      <c r="A70" s="103"/>
      <c r="B70" s="104"/>
      <c r="C70" s="110"/>
      <c r="F70" s="109"/>
      <c r="G70" s="107"/>
      <c r="H70" s="114"/>
      <c r="I70" s="117"/>
    </row>
    <row r="71" spans="1:9" x14ac:dyDescent="0.2">
      <c r="A71" s="103"/>
      <c r="B71" s="104"/>
      <c r="C71" s="110"/>
      <c r="F71" s="109"/>
      <c r="G71" s="107"/>
      <c r="H71" s="114"/>
      <c r="I71" s="117"/>
    </row>
    <row r="72" spans="1:9" x14ac:dyDescent="0.2">
      <c r="A72" s="103"/>
      <c r="B72" s="104"/>
      <c r="C72" s="110"/>
      <c r="F72" s="109"/>
      <c r="G72" s="107"/>
      <c r="H72" s="114"/>
      <c r="I72" s="117"/>
    </row>
    <row r="73" spans="1:9" x14ac:dyDescent="0.2">
      <c r="A73" s="103"/>
      <c r="B73" s="104"/>
      <c r="C73" s="110"/>
      <c r="F73" s="109"/>
      <c r="G73" s="107"/>
      <c r="H73" s="114"/>
      <c r="I73" s="117"/>
    </row>
    <row r="74" spans="1:9" x14ac:dyDescent="0.2">
      <c r="A74" s="103"/>
      <c r="B74" s="104"/>
      <c r="C74" s="110"/>
      <c r="F74" s="109"/>
      <c r="G74" s="107"/>
      <c r="H74" s="114"/>
      <c r="I74" s="117"/>
    </row>
    <row r="75" spans="1:9" x14ac:dyDescent="0.2">
      <c r="A75" s="103"/>
      <c r="B75" s="104"/>
      <c r="C75" s="110"/>
      <c r="F75" s="109"/>
      <c r="G75" s="107"/>
      <c r="H75" s="114"/>
      <c r="I75" s="117"/>
    </row>
    <row r="76" spans="1:9" x14ac:dyDescent="0.2">
      <c r="A76" s="103"/>
      <c r="B76" s="104"/>
      <c r="C76" s="110"/>
      <c r="F76" s="109"/>
      <c r="G76" s="107"/>
      <c r="H76" s="114"/>
      <c r="I76" s="117"/>
    </row>
    <row r="77" spans="1:9" x14ac:dyDescent="0.2">
      <c r="A77" s="103"/>
      <c r="B77" s="104"/>
      <c r="C77" s="110"/>
      <c r="F77" s="109"/>
      <c r="G77" s="107"/>
      <c r="H77" s="114"/>
      <c r="I77" s="117"/>
    </row>
    <row r="78" spans="1:9" x14ac:dyDescent="0.2">
      <c r="A78" s="103"/>
      <c r="B78" s="104"/>
      <c r="C78" s="110"/>
      <c r="F78" s="109"/>
      <c r="G78" s="107"/>
      <c r="H78" s="114"/>
      <c r="I78" s="117"/>
    </row>
    <row r="79" spans="1:9" x14ac:dyDescent="0.2">
      <c r="A79" s="103"/>
      <c r="B79" s="104"/>
      <c r="C79" s="110"/>
      <c r="F79" s="109"/>
      <c r="G79" s="107"/>
      <c r="H79" s="114"/>
      <c r="I79" s="117"/>
    </row>
    <row r="80" spans="1:9" x14ac:dyDescent="0.2">
      <c r="A80" s="103"/>
      <c r="B80" s="104"/>
      <c r="C80" s="110"/>
      <c r="F80" s="109"/>
      <c r="G80" s="107"/>
      <c r="H80" s="114"/>
      <c r="I80" s="117"/>
    </row>
    <row r="81" spans="1:9" x14ac:dyDescent="0.2">
      <c r="A81" s="103"/>
      <c r="B81" s="104"/>
      <c r="C81" s="110"/>
      <c r="F81" s="109"/>
      <c r="G81" s="107"/>
      <c r="H81" s="114"/>
      <c r="I81" s="117"/>
    </row>
    <row r="82" spans="1:9" x14ac:dyDescent="0.2">
      <c r="A82" s="103"/>
      <c r="B82" s="104"/>
      <c r="C82" s="110"/>
      <c r="F82" s="109"/>
      <c r="G82" s="107"/>
      <c r="H82" s="114"/>
      <c r="I82" s="117"/>
    </row>
    <row r="83" spans="1:9" x14ac:dyDescent="0.2">
      <c r="A83" s="103"/>
      <c r="B83" s="104"/>
      <c r="C83" s="110"/>
      <c r="F83" s="109"/>
      <c r="G83" s="107"/>
      <c r="H83" s="114"/>
      <c r="I83" s="117"/>
    </row>
    <row r="84" spans="1:9" x14ac:dyDescent="0.2">
      <c r="A84" s="103"/>
      <c r="B84" s="104"/>
      <c r="C84" s="110"/>
      <c r="F84" s="109"/>
      <c r="G84" s="107"/>
      <c r="H84" s="114"/>
      <c r="I84" s="117"/>
    </row>
    <row r="85" spans="1:9" x14ac:dyDescent="0.2">
      <c r="A85" s="103"/>
      <c r="B85" s="104"/>
      <c r="C85" s="110"/>
      <c r="F85" s="109"/>
      <c r="G85" s="107"/>
      <c r="H85" s="114"/>
      <c r="I85" s="117"/>
    </row>
    <row r="86" spans="1:9" x14ac:dyDescent="0.2">
      <c r="A86" s="103"/>
      <c r="B86" s="104"/>
      <c r="C86" s="110"/>
      <c r="F86" s="109"/>
      <c r="G86" s="107"/>
      <c r="H86" s="114"/>
      <c r="I86" s="117"/>
    </row>
    <row r="87" spans="1:9" x14ac:dyDescent="0.2">
      <c r="A87" s="103"/>
      <c r="B87" s="104"/>
      <c r="C87" s="110"/>
      <c r="F87" s="109"/>
      <c r="G87" s="107"/>
      <c r="H87" s="114"/>
      <c r="I87" s="117"/>
    </row>
    <row r="88" spans="1:9" x14ac:dyDescent="0.2">
      <c r="A88" s="103"/>
      <c r="B88" s="104"/>
      <c r="C88" s="110"/>
      <c r="F88" s="109"/>
      <c r="G88" s="107"/>
      <c r="H88" s="114"/>
      <c r="I88" s="117"/>
    </row>
    <row r="89" spans="1:9" x14ac:dyDescent="0.2">
      <c r="A89" s="103"/>
      <c r="B89" s="104"/>
      <c r="C89" s="110"/>
      <c r="F89" s="109"/>
      <c r="G89" s="107"/>
      <c r="H89" s="114"/>
      <c r="I89" s="117"/>
    </row>
    <row r="90" spans="1:9" x14ac:dyDescent="0.2">
      <c r="A90" s="103"/>
      <c r="B90" s="104"/>
      <c r="C90" s="110"/>
      <c r="F90" s="109"/>
      <c r="G90" s="107"/>
      <c r="H90" s="114"/>
      <c r="I90" s="117"/>
    </row>
    <row r="91" spans="1:9" x14ac:dyDescent="0.2">
      <c r="A91" s="103"/>
      <c r="B91" s="104"/>
      <c r="C91" s="110"/>
      <c r="F91" s="109"/>
      <c r="G91" s="107"/>
      <c r="H91" s="114"/>
      <c r="I91" s="117"/>
    </row>
    <row r="92" spans="1:9" x14ac:dyDescent="0.2">
      <c r="A92" s="103"/>
      <c r="B92" s="104"/>
      <c r="C92" s="110"/>
      <c r="F92" s="109"/>
      <c r="G92" s="107"/>
      <c r="H92" s="114"/>
      <c r="I92" s="117"/>
    </row>
    <row r="93" spans="1:9" x14ac:dyDescent="0.2">
      <c r="A93" s="103"/>
      <c r="B93" s="104"/>
      <c r="C93" s="110"/>
      <c r="F93" s="109"/>
      <c r="G93" s="107"/>
      <c r="H93" s="114"/>
      <c r="I93" s="117"/>
    </row>
    <row r="94" spans="1:9" x14ac:dyDescent="0.2">
      <c r="A94" s="103"/>
      <c r="B94" s="104"/>
      <c r="C94" s="110"/>
      <c r="F94" s="109"/>
      <c r="G94" s="107"/>
      <c r="H94" s="114"/>
      <c r="I94" s="117"/>
    </row>
    <row r="95" spans="1:9" x14ac:dyDescent="0.2">
      <c r="A95" s="103"/>
      <c r="B95" s="104"/>
      <c r="C95" s="110"/>
      <c r="F95" s="109"/>
      <c r="G95" s="107"/>
      <c r="H95" s="114"/>
      <c r="I95" s="117"/>
    </row>
    <row r="96" spans="1:9" x14ac:dyDescent="0.2">
      <c r="A96" s="103"/>
      <c r="B96" s="104"/>
      <c r="C96" s="110"/>
      <c r="F96" s="109"/>
      <c r="G96" s="107"/>
      <c r="H96" s="114"/>
      <c r="I96" s="117"/>
    </row>
    <row r="97" spans="1:9" x14ac:dyDescent="0.2">
      <c r="A97" s="103"/>
      <c r="B97" s="104"/>
      <c r="C97" s="110"/>
      <c r="F97" s="109"/>
      <c r="G97" s="107"/>
      <c r="H97" s="114"/>
      <c r="I97" s="117"/>
    </row>
    <row r="98" spans="1:9" x14ac:dyDescent="0.2">
      <c r="A98" s="103"/>
      <c r="B98" s="104"/>
      <c r="C98" s="110"/>
      <c r="F98" s="109"/>
      <c r="G98" s="107"/>
      <c r="H98" s="114"/>
      <c r="I98" s="117"/>
    </row>
    <row r="99" spans="1:9" x14ac:dyDescent="0.2">
      <c r="A99" s="103"/>
      <c r="B99" s="104"/>
      <c r="C99" s="110"/>
      <c r="F99" s="109"/>
      <c r="G99" s="107"/>
      <c r="H99" s="114"/>
      <c r="I99" s="117"/>
    </row>
    <row r="100" spans="1:9" x14ac:dyDescent="0.2">
      <c r="A100" s="103"/>
      <c r="B100" s="104"/>
      <c r="C100" s="110"/>
      <c r="F100" s="109"/>
      <c r="G100" s="107"/>
      <c r="H100" s="114"/>
      <c r="I100" s="117"/>
    </row>
    <row r="101" spans="1:9" x14ac:dyDescent="0.2">
      <c r="A101" s="103"/>
      <c r="B101" s="104"/>
      <c r="F101" s="109"/>
      <c r="G101" s="107"/>
      <c r="H101" s="114"/>
      <c r="I101" s="117"/>
    </row>
    <row r="102" spans="1:9" x14ac:dyDescent="0.2">
      <c r="A102" s="103"/>
      <c r="B102" s="104"/>
      <c r="F102" s="109"/>
      <c r="G102" s="107"/>
      <c r="H102" s="114"/>
      <c r="I102" s="117"/>
    </row>
    <row r="103" spans="1:9" x14ac:dyDescent="0.2">
      <c r="A103" s="103"/>
      <c r="B103" s="104"/>
      <c r="F103" s="109"/>
      <c r="G103" s="107"/>
      <c r="H103" s="114"/>
      <c r="I103" s="117"/>
    </row>
    <row r="104" spans="1:9" x14ac:dyDescent="0.2">
      <c r="A104" s="103"/>
      <c r="B104" s="104"/>
      <c r="F104" s="109"/>
      <c r="G104" s="107"/>
      <c r="H104" s="114"/>
      <c r="I104" s="117"/>
    </row>
    <row r="105" spans="1:9" x14ac:dyDescent="0.2">
      <c r="A105" s="103"/>
      <c r="B105" s="104"/>
      <c r="F105" s="109"/>
      <c r="G105" s="107"/>
      <c r="H105" s="115"/>
      <c r="I105" s="118"/>
    </row>
  </sheetData>
  <autoFilter ref="A1:I100" xr:uid="{00000000-0009-0000-0000-000000000000}"/>
  <pageMargins left="0.39370078740157483" right="0.39370078740157483" top="0.39370078740157483" bottom="0.39370078740157483" header="0.31496062992125984" footer="0.31496062992125984"/>
  <pageSetup paperSize="9" scale="75" fitToHeight="10" orientation="landscape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2:H10"/>
  <sheetViews>
    <sheetView topLeftCell="B1" zoomScaleNormal="100" workbookViewId="0">
      <selection activeCell="H21" sqref="H21"/>
    </sheetView>
  </sheetViews>
  <sheetFormatPr defaultColWidth="9.109375" defaultRowHeight="14.4" outlineLevelCol="1" x14ac:dyDescent="0.3"/>
  <cols>
    <col min="1" max="1" width="4" style="21" hidden="1" customWidth="1" outlineLevel="1"/>
    <col min="2" max="2" width="5" style="18" customWidth="1" collapsed="1"/>
    <col min="3" max="3" width="4.88671875" style="18" customWidth="1"/>
    <col min="4" max="4" width="9.5546875" style="66" customWidth="1"/>
    <col min="5" max="8" width="10.88671875" style="18" customWidth="1"/>
    <col min="9" max="10" width="2.88671875" style="18" customWidth="1"/>
    <col min="11" max="16384" width="9.109375" style="18"/>
  </cols>
  <sheetData>
    <row r="2" spans="1:8" ht="15.6" x14ac:dyDescent="0.3">
      <c r="B2" s="67"/>
      <c r="C2" s="68"/>
      <c r="D2" s="69"/>
      <c r="E2" s="137" t="s">
        <v>58</v>
      </c>
      <c r="F2" s="137"/>
      <c r="G2" s="137"/>
      <c r="H2" s="138"/>
    </row>
    <row r="3" spans="1:8" ht="27.6" x14ac:dyDescent="0.3">
      <c r="B3" s="70"/>
      <c r="C3" s="71"/>
      <c r="D3" s="72"/>
      <c r="E3" s="73" t="s">
        <v>55</v>
      </c>
      <c r="F3" s="73" t="s">
        <v>56</v>
      </c>
      <c r="G3" s="73" t="s">
        <v>54</v>
      </c>
      <c r="H3" s="74" t="s">
        <v>57</v>
      </c>
    </row>
    <row r="4" spans="1:8" ht="25.5" customHeight="1" x14ac:dyDescent="0.3">
      <c r="A4" s="22">
        <v>10</v>
      </c>
      <c r="B4" s="139" t="s">
        <v>28</v>
      </c>
      <c r="C4" s="73">
        <v>10</v>
      </c>
      <c r="D4" s="75" t="s">
        <v>23</v>
      </c>
      <c r="E4" s="76">
        <f>COUNTIF('Risk Assessment Data'!$G$2:$G$105, "1010")</f>
        <v>1</v>
      </c>
      <c r="F4" s="77">
        <f>COUNTIF('Risk Assessment Data'!$G$2:$G$105, "2010")</f>
        <v>0</v>
      </c>
      <c r="G4" s="78">
        <f>COUNTIF('Risk Assessment Data'!$G$2:$G$105, "3010")</f>
        <v>0</v>
      </c>
      <c r="H4" s="79">
        <f>COUNTIF('Risk Assessment Data'!$G$2:$G$105, "4010")</f>
        <v>0</v>
      </c>
    </row>
    <row r="5" spans="1:8" ht="25.5" customHeight="1" x14ac:dyDescent="0.3">
      <c r="A5" s="22">
        <v>20</v>
      </c>
      <c r="B5" s="139"/>
      <c r="C5" s="73">
        <v>20</v>
      </c>
      <c r="D5" s="75" t="s">
        <v>24</v>
      </c>
      <c r="E5" s="77">
        <f>COUNTIF('Risk Assessment Data'!$G$2:$G$105, "1020")</f>
        <v>2</v>
      </c>
      <c r="F5" s="78">
        <f>COUNTIF('Risk Assessment Data'!$G$2:$G$105, "2020")</f>
        <v>0</v>
      </c>
      <c r="G5" s="80">
        <v>7</v>
      </c>
      <c r="H5" s="81">
        <f>COUNTIF('Risk Assessment Data'!$G$2:$G$105, "4020")</f>
        <v>0</v>
      </c>
    </row>
    <row r="6" spans="1:8" ht="25.5" customHeight="1" x14ac:dyDescent="0.3">
      <c r="A6" s="22">
        <v>30</v>
      </c>
      <c r="B6" s="139"/>
      <c r="C6" s="73">
        <v>30</v>
      </c>
      <c r="D6" s="75" t="s">
        <v>27</v>
      </c>
      <c r="E6" s="78">
        <v>7</v>
      </c>
      <c r="F6" s="80">
        <v>7</v>
      </c>
      <c r="G6" s="82">
        <f>COUNTIF('Risk Assessment Data'!$G$2:$G$105, "3030")</f>
        <v>0</v>
      </c>
      <c r="H6" s="83">
        <f>COUNTIF('Risk Assessment Data'!$G$2:$G$105, "4030")</f>
        <v>1</v>
      </c>
    </row>
    <row r="7" spans="1:8" ht="25.5" customHeight="1" x14ac:dyDescent="0.3">
      <c r="A7" s="22">
        <v>40</v>
      </c>
      <c r="B7" s="140"/>
      <c r="C7" s="84">
        <v>40</v>
      </c>
      <c r="D7" s="85" t="s">
        <v>59</v>
      </c>
      <c r="E7" s="86">
        <f>COUNTIF('Risk Assessment Data'!$G$2:$G$105, "1040")</f>
        <v>1</v>
      </c>
      <c r="F7" s="87">
        <f>COUNTIF('Risk Assessment Data'!$G$2:$G$105, "2040")</f>
        <v>0</v>
      </c>
      <c r="G7" s="88">
        <f>COUNTIF('Risk Assessment Data'!$G$2:$G$105, "3040")</f>
        <v>0</v>
      </c>
      <c r="H7" s="89">
        <f>COUNTIF('Risk Assessment Data'!$G$2:$G$105, "4040")</f>
        <v>1</v>
      </c>
    </row>
    <row r="9" spans="1:8" x14ac:dyDescent="0.3">
      <c r="B9" s="19" t="s">
        <v>38</v>
      </c>
    </row>
    <row r="10" spans="1:8" x14ac:dyDescent="0.3">
      <c r="B10" s="20" t="s">
        <v>39</v>
      </c>
    </row>
  </sheetData>
  <mergeCells count="2">
    <mergeCell ref="E2:H2"/>
    <mergeCell ref="B4:B7"/>
  </mergeCells>
  <conditionalFormatting sqref="B1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39370078740157483" right="0.39370078740157483" top="0.39370078740157483" bottom="0.39370078740157483" header="0.31496062992125984" footer="0.31496062992125984"/>
  <pageSetup paperSize="9" scale="97" orientation="landscape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QD75"/>
  <sheetViews>
    <sheetView topLeftCell="A7" zoomScale="70" zoomScaleNormal="70" workbookViewId="0"/>
  </sheetViews>
  <sheetFormatPr defaultColWidth="9.109375" defaultRowHeight="10.199999999999999" x14ac:dyDescent="0.2"/>
  <cols>
    <col min="1" max="19" width="9.109375" style="2" customWidth="1"/>
    <col min="20" max="20" width="4" style="2" customWidth="1"/>
    <col min="21" max="21" width="3" style="2" customWidth="1"/>
    <col min="22" max="22" width="20.6640625" style="2" customWidth="1"/>
    <col min="23" max="24" width="10" style="2" customWidth="1"/>
    <col min="25" max="25" width="10" style="2" hidden="1" customWidth="1"/>
    <col min="26" max="29" width="10" style="2" customWidth="1"/>
    <col min="30" max="43" width="4.33203125" style="2" customWidth="1"/>
    <col min="44" max="343" width="2.109375" style="2" customWidth="1"/>
    <col min="344" max="444" width="2.33203125" style="2" customWidth="1"/>
    <col min="445" max="458" width="4" style="2" customWidth="1"/>
    <col min="459" max="459" width="8.5546875" style="2" customWidth="1"/>
    <col min="460" max="460" width="7.33203125" style="2" customWidth="1"/>
    <col min="461" max="461" width="11.33203125" style="2" customWidth="1"/>
    <col min="462" max="16384" width="9.109375" style="2"/>
  </cols>
  <sheetData>
    <row r="1" spans="1:345" x14ac:dyDescent="0.2">
      <c r="A1" s="32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V1" s="1" t="s">
        <v>32</v>
      </c>
    </row>
    <row r="2" spans="1:345" x14ac:dyDescent="0.2">
      <c r="A2" s="32"/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Z2" s="56" t="s">
        <v>3</v>
      </c>
      <c r="AA2" s="57"/>
      <c r="AB2" s="56" t="s">
        <v>18</v>
      </c>
      <c r="AC2" s="57"/>
    </row>
    <row r="3" spans="1:345" ht="21" x14ac:dyDescent="0.2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V3" s="3" t="s">
        <v>33</v>
      </c>
      <c r="W3" s="4" t="s">
        <v>3</v>
      </c>
      <c r="X3" s="4" t="s">
        <v>1</v>
      </c>
      <c r="Y3" s="4"/>
      <c r="Z3" s="58" t="s">
        <v>50</v>
      </c>
      <c r="AA3" s="59" t="s">
        <v>49</v>
      </c>
      <c r="AB3" s="58" t="s">
        <v>50</v>
      </c>
      <c r="AC3" s="59" t="s">
        <v>49</v>
      </c>
      <c r="AE3" s="5" t="s">
        <v>34</v>
      </c>
      <c r="AF3" s="6"/>
      <c r="AG3" s="6"/>
      <c r="AH3" s="6"/>
      <c r="AI3" s="6"/>
      <c r="AJ3" s="6"/>
      <c r="AK3" s="6"/>
      <c r="AL3" s="6"/>
      <c r="AM3" s="6"/>
      <c r="AN3" s="6"/>
      <c r="AO3" s="5" t="s">
        <v>35</v>
      </c>
      <c r="AP3" s="5" t="s">
        <v>36</v>
      </c>
      <c r="AR3" s="7" t="s">
        <v>3</v>
      </c>
      <c r="AS3" s="7" t="s">
        <v>1</v>
      </c>
      <c r="AT3" s="31">
        <f>AT50</f>
        <v>1</v>
      </c>
      <c r="AU3" s="31">
        <f t="shared" ref="AU3:DF3" si="0">AU50</f>
        <v>2</v>
      </c>
      <c r="AV3" s="31">
        <f t="shared" si="0"/>
        <v>3</v>
      </c>
      <c r="AW3" s="31">
        <f t="shared" si="0"/>
        <v>4</v>
      </c>
      <c r="AX3" s="31">
        <f t="shared" si="0"/>
        <v>5</v>
      </c>
      <c r="AY3" s="31">
        <f t="shared" si="0"/>
        <v>6</v>
      </c>
      <c r="AZ3" s="31">
        <f t="shared" si="0"/>
        <v>7</v>
      </c>
      <c r="BA3" s="31">
        <f t="shared" si="0"/>
        <v>8</v>
      </c>
      <c r="BB3" s="31">
        <f t="shared" si="0"/>
        <v>9</v>
      </c>
      <c r="BC3" s="31">
        <f t="shared" si="0"/>
        <v>10</v>
      </c>
      <c r="BD3" s="31">
        <f t="shared" si="0"/>
        <v>11</v>
      </c>
      <c r="BE3" s="31">
        <f t="shared" si="0"/>
        <v>12</v>
      </c>
      <c r="BF3" s="31">
        <f t="shared" si="0"/>
        <v>13</v>
      </c>
      <c r="BG3" s="31">
        <f t="shared" si="0"/>
        <v>14</v>
      </c>
      <c r="BH3" s="31">
        <f t="shared" si="0"/>
        <v>15</v>
      </c>
      <c r="BI3" s="31">
        <f t="shared" si="0"/>
        <v>16</v>
      </c>
      <c r="BJ3" s="31">
        <f t="shared" si="0"/>
        <v>17</v>
      </c>
      <c r="BK3" s="31">
        <f t="shared" si="0"/>
        <v>18</v>
      </c>
      <c r="BL3" s="31">
        <f t="shared" si="0"/>
        <v>19</v>
      </c>
      <c r="BM3" s="31">
        <f t="shared" si="0"/>
        <v>20</v>
      </c>
      <c r="BN3" s="31">
        <f t="shared" si="0"/>
        <v>21</v>
      </c>
      <c r="BO3" s="31">
        <f t="shared" si="0"/>
        <v>22</v>
      </c>
      <c r="BP3" s="31">
        <f t="shared" si="0"/>
        <v>23</v>
      </c>
      <c r="BQ3" s="31">
        <f t="shared" si="0"/>
        <v>24</v>
      </c>
      <c r="BR3" s="31">
        <f t="shared" si="0"/>
        <v>25</v>
      </c>
      <c r="BS3" s="31">
        <f t="shared" si="0"/>
        <v>26</v>
      </c>
      <c r="BT3" s="31">
        <f t="shared" si="0"/>
        <v>27</v>
      </c>
      <c r="BU3" s="31">
        <f t="shared" si="0"/>
        <v>28</v>
      </c>
      <c r="BV3" s="31">
        <f t="shared" si="0"/>
        <v>29</v>
      </c>
      <c r="BW3" s="31">
        <f t="shared" si="0"/>
        <v>30</v>
      </c>
      <c r="BX3" s="31">
        <f t="shared" si="0"/>
        <v>31</v>
      </c>
      <c r="BY3" s="31">
        <f t="shared" si="0"/>
        <v>32</v>
      </c>
      <c r="BZ3" s="31">
        <f t="shared" si="0"/>
        <v>33</v>
      </c>
      <c r="CA3" s="31">
        <f t="shared" si="0"/>
        <v>34</v>
      </c>
      <c r="CB3" s="31">
        <f t="shared" si="0"/>
        <v>35</v>
      </c>
      <c r="CC3" s="31">
        <f t="shared" si="0"/>
        <v>36</v>
      </c>
      <c r="CD3" s="31">
        <f t="shared" si="0"/>
        <v>37</v>
      </c>
      <c r="CE3" s="31">
        <f t="shared" si="0"/>
        <v>38</v>
      </c>
      <c r="CF3" s="31">
        <f t="shared" si="0"/>
        <v>39</v>
      </c>
      <c r="CG3" s="31">
        <f t="shared" si="0"/>
        <v>40</v>
      </c>
      <c r="CH3" s="31">
        <f t="shared" si="0"/>
        <v>41</v>
      </c>
      <c r="CI3" s="31">
        <f t="shared" si="0"/>
        <v>42</v>
      </c>
      <c r="CJ3" s="31">
        <f t="shared" si="0"/>
        <v>43</v>
      </c>
      <c r="CK3" s="31">
        <f t="shared" si="0"/>
        <v>44</v>
      </c>
      <c r="CL3" s="31">
        <f t="shared" si="0"/>
        <v>45</v>
      </c>
      <c r="CM3" s="31">
        <f t="shared" si="0"/>
        <v>46</v>
      </c>
      <c r="CN3" s="31">
        <f t="shared" si="0"/>
        <v>47</v>
      </c>
      <c r="CO3" s="31">
        <f t="shared" si="0"/>
        <v>48</v>
      </c>
      <c r="CP3" s="31">
        <f t="shared" si="0"/>
        <v>49</v>
      </c>
      <c r="CQ3" s="31">
        <f t="shared" si="0"/>
        <v>50</v>
      </c>
      <c r="CR3" s="31">
        <f t="shared" si="0"/>
        <v>51</v>
      </c>
      <c r="CS3" s="31">
        <f t="shared" si="0"/>
        <v>52</v>
      </c>
      <c r="CT3" s="31">
        <f t="shared" si="0"/>
        <v>53</v>
      </c>
      <c r="CU3" s="31">
        <f t="shared" si="0"/>
        <v>54</v>
      </c>
      <c r="CV3" s="31">
        <f t="shared" si="0"/>
        <v>55</v>
      </c>
      <c r="CW3" s="31">
        <f t="shared" si="0"/>
        <v>56</v>
      </c>
      <c r="CX3" s="31">
        <f t="shared" si="0"/>
        <v>57</v>
      </c>
      <c r="CY3" s="31">
        <f t="shared" si="0"/>
        <v>58</v>
      </c>
      <c r="CZ3" s="31">
        <f t="shared" si="0"/>
        <v>59</v>
      </c>
      <c r="DA3" s="31">
        <f t="shared" si="0"/>
        <v>60</v>
      </c>
      <c r="DB3" s="31">
        <f t="shared" si="0"/>
        <v>61</v>
      </c>
      <c r="DC3" s="31">
        <f t="shared" si="0"/>
        <v>62</v>
      </c>
      <c r="DD3" s="31">
        <f t="shared" si="0"/>
        <v>63</v>
      </c>
      <c r="DE3" s="31">
        <f t="shared" si="0"/>
        <v>64</v>
      </c>
      <c r="DF3" s="31">
        <f t="shared" si="0"/>
        <v>65</v>
      </c>
      <c r="DG3" s="31">
        <f t="shared" ref="DG3:FR3" si="1">DG50</f>
        <v>66</v>
      </c>
      <c r="DH3" s="31">
        <f t="shared" si="1"/>
        <v>67</v>
      </c>
      <c r="DI3" s="31">
        <f t="shared" si="1"/>
        <v>68</v>
      </c>
      <c r="DJ3" s="31">
        <f t="shared" si="1"/>
        <v>69</v>
      </c>
      <c r="DK3" s="31">
        <f t="shared" si="1"/>
        <v>70</v>
      </c>
      <c r="DL3" s="31">
        <f t="shared" si="1"/>
        <v>71</v>
      </c>
      <c r="DM3" s="31">
        <f t="shared" si="1"/>
        <v>72</v>
      </c>
      <c r="DN3" s="31">
        <f t="shared" si="1"/>
        <v>73</v>
      </c>
      <c r="DO3" s="31">
        <f t="shared" si="1"/>
        <v>74</v>
      </c>
      <c r="DP3" s="31">
        <f t="shared" si="1"/>
        <v>75</v>
      </c>
      <c r="DQ3" s="31">
        <f t="shared" si="1"/>
        <v>76</v>
      </c>
      <c r="DR3" s="31">
        <f t="shared" si="1"/>
        <v>77</v>
      </c>
      <c r="DS3" s="31">
        <f t="shared" si="1"/>
        <v>78</v>
      </c>
      <c r="DT3" s="31">
        <f t="shared" si="1"/>
        <v>79</v>
      </c>
      <c r="DU3" s="31">
        <f t="shared" si="1"/>
        <v>80</v>
      </c>
      <c r="DV3" s="31">
        <f t="shared" si="1"/>
        <v>81</v>
      </c>
      <c r="DW3" s="31">
        <f t="shared" si="1"/>
        <v>82</v>
      </c>
      <c r="DX3" s="31">
        <f t="shared" si="1"/>
        <v>83</v>
      </c>
      <c r="DY3" s="31">
        <f t="shared" si="1"/>
        <v>84</v>
      </c>
      <c r="DZ3" s="31">
        <f t="shared" si="1"/>
        <v>85</v>
      </c>
      <c r="EA3" s="31">
        <f t="shared" si="1"/>
        <v>86</v>
      </c>
      <c r="EB3" s="31">
        <f t="shared" si="1"/>
        <v>87</v>
      </c>
      <c r="EC3" s="31">
        <f t="shared" si="1"/>
        <v>88</v>
      </c>
      <c r="ED3" s="31">
        <f t="shared" si="1"/>
        <v>89</v>
      </c>
      <c r="EE3" s="31">
        <f t="shared" si="1"/>
        <v>90</v>
      </c>
      <c r="EF3" s="31">
        <f t="shared" si="1"/>
        <v>91</v>
      </c>
      <c r="EG3" s="31">
        <f t="shared" si="1"/>
        <v>92</v>
      </c>
      <c r="EH3" s="31">
        <f t="shared" si="1"/>
        <v>93</v>
      </c>
      <c r="EI3" s="31">
        <f t="shared" si="1"/>
        <v>94</v>
      </c>
      <c r="EJ3" s="31">
        <f t="shared" si="1"/>
        <v>95</v>
      </c>
      <c r="EK3" s="31">
        <f t="shared" si="1"/>
        <v>96</v>
      </c>
      <c r="EL3" s="31">
        <f t="shared" si="1"/>
        <v>97</v>
      </c>
      <c r="EM3" s="31">
        <f t="shared" si="1"/>
        <v>98</v>
      </c>
      <c r="EN3" s="31">
        <f t="shared" si="1"/>
        <v>99</v>
      </c>
      <c r="EO3" s="31">
        <f t="shared" si="1"/>
        <v>100</v>
      </c>
      <c r="EP3" s="31">
        <f t="shared" si="1"/>
        <v>101</v>
      </c>
      <c r="EQ3" s="31">
        <f t="shared" si="1"/>
        <v>102</v>
      </c>
      <c r="ER3" s="31">
        <f t="shared" si="1"/>
        <v>103</v>
      </c>
      <c r="ES3" s="31">
        <f t="shared" si="1"/>
        <v>104</v>
      </c>
      <c r="ET3" s="31">
        <f t="shared" si="1"/>
        <v>105</v>
      </c>
      <c r="EU3" s="31">
        <f t="shared" si="1"/>
        <v>106</v>
      </c>
      <c r="EV3" s="31">
        <f t="shared" si="1"/>
        <v>107</v>
      </c>
      <c r="EW3" s="31">
        <f t="shared" si="1"/>
        <v>108</v>
      </c>
      <c r="EX3" s="31">
        <f t="shared" si="1"/>
        <v>109</v>
      </c>
      <c r="EY3" s="31">
        <f t="shared" si="1"/>
        <v>110</v>
      </c>
      <c r="EZ3" s="31">
        <f t="shared" si="1"/>
        <v>111</v>
      </c>
      <c r="FA3" s="31">
        <f t="shared" si="1"/>
        <v>112</v>
      </c>
      <c r="FB3" s="31">
        <f t="shared" si="1"/>
        <v>113</v>
      </c>
      <c r="FC3" s="31">
        <f t="shared" si="1"/>
        <v>114</v>
      </c>
      <c r="FD3" s="31">
        <f t="shared" si="1"/>
        <v>115</v>
      </c>
      <c r="FE3" s="31">
        <f t="shared" si="1"/>
        <v>116</v>
      </c>
      <c r="FF3" s="31">
        <f t="shared" si="1"/>
        <v>117</v>
      </c>
      <c r="FG3" s="31">
        <f t="shared" si="1"/>
        <v>118</v>
      </c>
      <c r="FH3" s="31">
        <f t="shared" si="1"/>
        <v>119</v>
      </c>
      <c r="FI3" s="31">
        <f t="shared" si="1"/>
        <v>120</v>
      </c>
      <c r="FJ3" s="31">
        <f t="shared" si="1"/>
        <v>121</v>
      </c>
      <c r="FK3" s="31">
        <f t="shared" si="1"/>
        <v>122</v>
      </c>
      <c r="FL3" s="31">
        <f t="shared" si="1"/>
        <v>123</v>
      </c>
      <c r="FM3" s="31">
        <f t="shared" si="1"/>
        <v>124</v>
      </c>
      <c r="FN3" s="31">
        <f t="shared" si="1"/>
        <v>125</v>
      </c>
      <c r="FO3" s="31">
        <f t="shared" si="1"/>
        <v>126</v>
      </c>
      <c r="FP3" s="31">
        <f t="shared" si="1"/>
        <v>127</v>
      </c>
      <c r="FQ3" s="31">
        <f t="shared" si="1"/>
        <v>128</v>
      </c>
      <c r="FR3" s="31">
        <f t="shared" si="1"/>
        <v>129</v>
      </c>
      <c r="FS3" s="31">
        <f t="shared" ref="FS3:ID3" si="2">FS50</f>
        <v>130</v>
      </c>
      <c r="FT3" s="31">
        <f t="shared" si="2"/>
        <v>131</v>
      </c>
      <c r="FU3" s="31">
        <f t="shared" si="2"/>
        <v>132</v>
      </c>
      <c r="FV3" s="31">
        <f t="shared" si="2"/>
        <v>133</v>
      </c>
      <c r="FW3" s="31">
        <f t="shared" si="2"/>
        <v>134</v>
      </c>
      <c r="FX3" s="31">
        <f t="shared" si="2"/>
        <v>135</v>
      </c>
      <c r="FY3" s="31">
        <f t="shared" si="2"/>
        <v>136</v>
      </c>
      <c r="FZ3" s="31">
        <f t="shared" si="2"/>
        <v>137</v>
      </c>
      <c r="GA3" s="31">
        <f t="shared" si="2"/>
        <v>138</v>
      </c>
      <c r="GB3" s="31">
        <f t="shared" si="2"/>
        <v>139</v>
      </c>
      <c r="GC3" s="31">
        <f t="shared" si="2"/>
        <v>140</v>
      </c>
      <c r="GD3" s="31">
        <f t="shared" si="2"/>
        <v>141</v>
      </c>
      <c r="GE3" s="31">
        <f t="shared" si="2"/>
        <v>142</v>
      </c>
      <c r="GF3" s="31">
        <f t="shared" si="2"/>
        <v>143</v>
      </c>
      <c r="GG3" s="31">
        <f t="shared" si="2"/>
        <v>144</v>
      </c>
      <c r="GH3" s="31">
        <f t="shared" si="2"/>
        <v>145</v>
      </c>
      <c r="GI3" s="31">
        <f t="shared" si="2"/>
        <v>146</v>
      </c>
      <c r="GJ3" s="31">
        <f t="shared" si="2"/>
        <v>147</v>
      </c>
      <c r="GK3" s="31">
        <f t="shared" si="2"/>
        <v>148</v>
      </c>
      <c r="GL3" s="31">
        <f t="shared" si="2"/>
        <v>149</v>
      </c>
      <c r="GM3" s="31">
        <f t="shared" si="2"/>
        <v>150</v>
      </c>
      <c r="GN3" s="31">
        <f t="shared" si="2"/>
        <v>151</v>
      </c>
      <c r="GO3" s="31">
        <f t="shared" si="2"/>
        <v>152</v>
      </c>
      <c r="GP3" s="31">
        <f t="shared" si="2"/>
        <v>153</v>
      </c>
      <c r="GQ3" s="31">
        <f t="shared" si="2"/>
        <v>154</v>
      </c>
      <c r="GR3" s="31">
        <f t="shared" si="2"/>
        <v>155</v>
      </c>
      <c r="GS3" s="31">
        <f t="shared" si="2"/>
        <v>156</v>
      </c>
      <c r="GT3" s="31">
        <f t="shared" si="2"/>
        <v>157</v>
      </c>
      <c r="GU3" s="31">
        <f t="shared" si="2"/>
        <v>158</v>
      </c>
      <c r="GV3" s="31">
        <f t="shared" si="2"/>
        <v>159</v>
      </c>
      <c r="GW3" s="31">
        <f t="shared" si="2"/>
        <v>160</v>
      </c>
      <c r="GX3" s="31">
        <f t="shared" si="2"/>
        <v>161</v>
      </c>
      <c r="GY3" s="31">
        <f t="shared" si="2"/>
        <v>162</v>
      </c>
      <c r="GZ3" s="31">
        <f t="shared" si="2"/>
        <v>163</v>
      </c>
      <c r="HA3" s="31">
        <f t="shared" si="2"/>
        <v>164</v>
      </c>
      <c r="HB3" s="31">
        <f t="shared" si="2"/>
        <v>165</v>
      </c>
      <c r="HC3" s="31">
        <f t="shared" si="2"/>
        <v>166</v>
      </c>
      <c r="HD3" s="31">
        <f t="shared" si="2"/>
        <v>167</v>
      </c>
      <c r="HE3" s="31">
        <f t="shared" si="2"/>
        <v>168</v>
      </c>
      <c r="HF3" s="31">
        <f t="shared" si="2"/>
        <v>169</v>
      </c>
      <c r="HG3" s="31">
        <f t="shared" si="2"/>
        <v>170</v>
      </c>
      <c r="HH3" s="31">
        <f t="shared" si="2"/>
        <v>171</v>
      </c>
      <c r="HI3" s="31">
        <f t="shared" si="2"/>
        <v>172</v>
      </c>
      <c r="HJ3" s="31">
        <f t="shared" si="2"/>
        <v>173</v>
      </c>
      <c r="HK3" s="31">
        <f t="shared" si="2"/>
        <v>174</v>
      </c>
      <c r="HL3" s="31">
        <f t="shared" si="2"/>
        <v>175</v>
      </c>
      <c r="HM3" s="31">
        <f t="shared" si="2"/>
        <v>176</v>
      </c>
      <c r="HN3" s="31">
        <f t="shared" si="2"/>
        <v>177</v>
      </c>
      <c r="HO3" s="31">
        <f t="shared" si="2"/>
        <v>178</v>
      </c>
      <c r="HP3" s="31">
        <f t="shared" si="2"/>
        <v>179</v>
      </c>
      <c r="HQ3" s="31">
        <f t="shared" si="2"/>
        <v>180</v>
      </c>
      <c r="HR3" s="31">
        <f t="shared" si="2"/>
        <v>181</v>
      </c>
      <c r="HS3" s="31">
        <f t="shared" si="2"/>
        <v>182</v>
      </c>
      <c r="HT3" s="31">
        <f t="shared" si="2"/>
        <v>183</v>
      </c>
      <c r="HU3" s="31">
        <f t="shared" si="2"/>
        <v>184</v>
      </c>
      <c r="HV3" s="31">
        <f t="shared" si="2"/>
        <v>185</v>
      </c>
      <c r="HW3" s="31">
        <f t="shared" si="2"/>
        <v>186</v>
      </c>
      <c r="HX3" s="31">
        <f t="shared" si="2"/>
        <v>187</v>
      </c>
      <c r="HY3" s="31">
        <f t="shared" si="2"/>
        <v>188</v>
      </c>
      <c r="HZ3" s="31">
        <f t="shared" si="2"/>
        <v>189</v>
      </c>
      <c r="IA3" s="31">
        <f t="shared" si="2"/>
        <v>190</v>
      </c>
      <c r="IB3" s="31">
        <f t="shared" si="2"/>
        <v>191</v>
      </c>
      <c r="IC3" s="31">
        <f t="shared" si="2"/>
        <v>192</v>
      </c>
      <c r="ID3" s="31">
        <f t="shared" si="2"/>
        <v>193</v>
      </c>
      <c r="IE3" s="31">
        <f t="shared" ref="IE3:KP3" si="3">IE50</f>
        <v>194</v>
      </c>
      <c r="IF3" s="31">
        <f t="shared" si="3"/>
        <v>195</v>
      </c>
      <c r="IG3" s="31">
        <f t="shared" si="3"/>
        <v>196</v>
      </c>
      <c r="IH3" s="31">
        <f t="shared" si="3"/>
        <v>197</v>
      </c>
      <c r="II3" s="31">
        <f t="shared" si="3"/>
        <v>198</v>
      </c>
      <c r="IJ3" s="31">
        <f t="shared" si="3"/>
        <v>199</v>
      </c>
      <c r="IK3" s="31">
        <f t="shared" si="3"/>
        <v>200</v>
      </c>
      <c r="IL3" s="31">
        <f t="shared" si="3"/>
        <v>201</v>
      </c>
      <c r="IM3" s="31">
        <f t="shared" si="3"/>
        <v>202</v>
      </c>
      <c r="IN3" s="31">
        <f t="shared" si="3"/>
        <v>203</v>
      </c>
      <c r="IO3" s="31">
        <f t="shared" si="3"/>
        <v>204</v>
      </c>
      <c r="IP3" s="31">
        <f t="shared" si="3"/>
        <v>205</v>
      </c>
      <c r="IQ3" s="31">
        <f t="shared" si="3"/>
        <v>206</v>
      </c>
      <c r="IR3" s="31">
        <f t="shared" si="3"/>
        <v>207</v>
      </c>
      <c r="IS3" s="31">
        <f t="shared" si="3"/>
        <v>208</v>
      </c>
      <c r="IT3" s="31">
        <f t="shared" si="3"/>
        <v>209</v>
      </c>
      <c r="IU3" s="31">
        <f t="shared" si="3"/>
        <v>210</v>
      </c>
      <c r="IV3" s="31">
        <f t="shared" si="3"/>
        <v>211</v>
      </c>
      <c r="IW3" s="31">
        <f t="shared" si="3"/>
        <v>212</v>
      </c>
      <c r="IX3" s="31">
        <f t="shared" si="3"/>
        <v>213</v>
      </c>
      <c r="IY3" s="31">
        <f t="shared" si="3"/>
        <v>214</v>
      </c>
      <c r="IZ3" s="31">
        <f t="shared" si="3"/>
        <v>215</v>
      </c>
      <c r="JA3" s="31">
        <f t="shared" si="3"/>
        <v>216</v>
      </c>
      <c r="JB3" s="31">
        <f t="shared" si="3"/>
        <v>217</v>
      </c>
      <c r="JC3" s="31">
        <f t="shared" si="3"/>
        <v>218</v>
      </c>
      <c r="JD3" s="31">
        <f t="shared" si="3"/>
        <v>219</v>
      </c>
      <c r="JE3" s="31">
        <f t="shared" si="3"/>
        <v>220</v>
      </c>
      <c r="JF3" s="31">
        <f t="shared" si="3"/>
        <v>221</v>
      </c>
      <c r="JG3" s="31">
        <f t="shared" si="3"/>
        <v>222</v>
      </c>
      <c r="JH3" s="31">
        <f t="shared" si="3"/>
        <v>223</v>
      </c>
      <c r="JI3" s="31">
        <f t="shared" si="3"/>
        <v>224</v>
      </c>
      <c r="JJ3" s="31">
        <f t="shared" si="3"/>
        <v>225</v>
      </c>
      <c r="JK3" s="31">
        <f t="shared" si="3"/>
        <v>226</v>
      </c>
      <c r="JL3" s="31">
        <f t="shared" si="3"/>
        <v>227</v>
      </c>
      <c r="JM3" s="31">
        <f t="shared" si="3"/>
        <v>228</v>
      </c>
      <c r="JN3" s="31">
        <f t="shared" si="3"/>
        <v>229</v>
      </c>
      <c r="JO3" s="31">
        <f t="shared" si="3"/>
        <v>230</v>
      </c>
      <c r="JP3" s="31">
        <f t="shared" si="3"/>
        <v>231</v>
      </c>
      <c r="JQ3" s="31">
        <f t="shared" si="3"/>
        <v>232</v>
      </c>
      <c r="JR3" s="31">
        <f t="shared" si="3"/>
        <v>233</v>
      </c>
      <c r="JS3" s="31">
        <f t="shared" si="3"/>
        <v>234</v>
      </c>
      <c r="JT3" s="31">
        <f t="shared" si="3"/>
        <v>235</v>
      </c>
      <c r="JU3" s="31">
        <f t="shared" si="3"/>
        <v>236</v>
      </c>
      <c r="JV3" s="31">
        <f t="shared" si="3"/>
        <v>237</v>
      </c>
      <c r="JW3" s="31">
        <f t="shared" si="3"/>
        <v>238</v>
      </c>
      <c r="JX3" s="31">
        <f t="shared" si="3"/>
        <v>239</v>
      </c>
      <c r="JY3" s="31">
        <f t="shared" si="3"/>
        <v>240</v>
      </c>
      <c r="JZ3" s="31">
        <f t="shared" si="3"/>
        <v>241</v>
      </c>
      <c r="KA3" s="31">
        <f t="shared" si="3"/>
        <v>242</v>
      </c>
      <c r="KB3" s="31">
        <f t="shared" si="3"/>
        <v>243</v>
      </c>
      <c r="KC3" s="31">
        <f t="shared" si="3"/>
        <v>244</v>
      </c>
      <c r="KD3" s="31">
        <f t="shared" si="3"/>
        <v>245</v>
      </c>
      <c r="KE3" s="31">
        <f t="shared" si="3"/>
        <v>246</v>
      </c>
      <c r="KF3" s="31">
        <f t="shared" si="3"/>
        <v>247</v>
      </c>
      <c r="KG3" s="31">
        <f t="shared" si="3"/>
        <v>248</v>
      </c>
      <c r="KH3" s="31">
        <f t="shared" si="3"/>
        <v>249</v>
      </c>
      <c r="KI3" s="31">
        <f t="shared" si="3"/>
        <v>250</v>
      </c>
      <c r="KJ3" s="31">
        <f t="shared" si="3"/>
        <v>251</v>
      </c>
      <c r="KK3" s="31">
        <f t="shared" si="3"/>
        <v>252</v>
      </c>
      <c r="KL3" s="31">
        <f t="shared" si="3"/>
        <v>253</v>
      </c>
      <c r="KM3" s="31">
        <f t="shared" si="3"/>
        <v>254</v>
      </c>
      <c r="KN3" s="31">
        <f t="shared" si="3"/>
        <v>255</v>
      </c>
      <c r="KO3" s="31">
        <f t="shared" si="3"/>
        <v>256</v>
      </c>
      <c r="KP3" s="31">
        <f t="shared" si="3"/>
        <v>257</v>
      </c>
      <c r="KQ3" s="31">
        <f t="shared" ref="KQ3:MG3" si="4">KQ50</f>
        <v>258</v>
      </c>
      <c r="KR3" s="31">
        <f t="shared" si="4"/>
        <v>259</v>
      </c>
      <c r="KS3" s="31">
        <f t="shared" si="4"/>
        <v>260</v>
      </c>
      <c r="KT3" s="31">
        <f t="shared" si="4"/>
        <v>261</v>
      </c>
      <c r="KU3" s="31">
        <f t="shared" si="4"/>
        <v>262</v>
      </c>
      <c r="KV3" s="31">
        <f t="shared" si="4"/>
        <v>263</v>
      </c>
      <c r="KW3" s="31">
        <f t="shared" si="4"/>
        <v>264</v>
      </c>
      <c r="KX3" s="31">
        <f t="shared" si="4"/>
        <v>265</v>
      </c>
      <c r="KY3" s="31">
        <f t="shared" si="4"/>
        <v>266</v>
      </c>
      <c r="KZ3" s="31">
        <f t="shared" si="4"/>
        <v>267</v>
      </c>
      <c r="LA3" s="31">
        <f t="shared" si="4"/>
        <v>268</v>
      </c>
      <c r="LB3" s="31">
        <f t="shared" si="4"/>
        <v>269</v>
      </c>
      <c r="LC3" s="31">
        <f t="shared" si="4"/>
        <v>270</v>
      </c>
      <c r="LD3" s="31">
        <f t="shared" si="4"/>
        <v>271</v>
      </c>
      <c r="LE3" s="31">
        <f t="shared" si="4"/>
        <v>272</v>
      </c>
      <c r="LF3" s="31">
        <f t="shared" si="4"/>
        <v>273</v>
      </c>
      <c r="LG3" s="31">
        <f t="shared" si="4"/>
        <v>274</v>
      </c>
      <c r="LH3" s="31">
        <f t="shared" si="4"/>
        <v>275</v>
      </c>
      <c r="LI3" s="31">
        <f t="shared" si="4"/>
        <v>276</v>
      </c>
      <c r="LJ3" s="31">
        <f t="shared" si="4"/>
        <v>277</v>
      </c>
      <c r="LK3" s="31">
        <f t="shared" si="4"/>
        <v>278</v>
      </c>
      <c r="LL3" s="31">
        <f t="shared" si="4"/>
        <v>279</v>
      </c>
      <c r="LM3" s="31">
        <f t="shared" si="4"/>
        <v>280</v>
      </c>
      <c r="LN3" s="31">
        <f t="shared" si="4"/>
        <v>281</v>
      </c>
      <c r="LO3" s="31">
        <f t="shared" si="4"/>
        <v>282</v>
      </c>
      <c r="LP3" s="31">
        <f t="shared" si="4"/>
        <v>283</v>
      </c>
      <c r="LQ3" s="31">
        <f t="shared" si="4"/>
        <v>284</v>
      </c>
      <c r="LR3" s="31">
        <f t="shared" si="4"/>
        <v>285</v>
      </c>
      <c r="LS3" s="31">
        <f t="shared" si="4"/>
        <v>286</v>
      </c>
      <c r="LT3" s="31">
        <f t="shared" si="4"/>
        <v>287</v>
      </c>
      <c r="LU3" s="31">
        <f t="shared" si="4"/>
        <v>288</v>
      </c>
      <c r="LV3" s="31">
        <f t="shared" si="4"/>
        <v>289</v>
      </c>
      <c r="LW3" s="31">
        <f t="shared" si="4"/>
        <v>290</v>
      </c>
      <c r="LX3" s="31">
        <f t="shared" si="4"/>
        <v>291</v>
      </c>
      <c r="LY3" s="31">
        <f t="shared" si="4"/>
        <v>292</v>
      </c>
      <c r="LZ3" s="31">
        <f t="shared" si="4"/>
        <v>293</v>
      </c>
      <c r="MA3" s="31">
        <f t="shared" si="4"/>
        <v>294</v>
      </c>
      <c r="MB3" s="31">
        <f t="shared" si="4"/>
        <v>295</v>
      </c>
      <c r="MC3" s="31">
        <f t="shared" si="4"/>
        <v>296</v>
      </c>
      <c r="MD3" s="31">
        <f t="shared" si="4"/>
        <v>297</v>
      </c>
      <c r="ME3" s="31">
        <f t="shared" si="4"/>
        <v>298</v>
      </c>
      <c r="MF3" s="31">
        <f t="shared" si="4"/>
        <v>299</v>
      </c>
      <c r="MG3" s="31">
        <f t="shared" si="4"/>
        <v>300</v>
      </c>
    </row>
    <row r="4" spans="1:345" x14ac:dyDescent="0.2">
      <c r="A4" s="32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V4" s="60">
        <v>10</v>
      </c>
      <c r="W4" s="33">
        <v>10</v>
      </c>
      <c r="X4" s="34">
        <v>5</v>
      </c>
      <c r="Y4" s="33"/>
      <c r="Z4" s="35"/>
      <c r="AA4" s="54"/>
      <c r="AB4" s="36"/>
      <c r="AC4" s="48"/>
      <c r="AE4" s="24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6"/>
      <c r="AR4" s="24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9"/>
      <c r="BQ4" s="29"/>
      <c r="BR4" s="29"/>
      <c r="BS4" s="29"/>
      <c r="BT4" s="29"/>
      <c r="BU4" s="29"/>
      <c r="BV4" s="29"/>
      <c r="BW4" s="29"/>
      <c r="BX4" s="29"/>
      <c r="BY4" s="29"/>
      <c r="BZ4" s="29"/>
      <c r="CA4" s="29"/>
      <c r="CB4" s="29"/>
      <c r="CC4" s="29"/>
      <c r="CD4" s="29"/>
      <c r="CE4" s="29"/>
      <c r="CF4" s="29"/>
      <c r="CG4" s="29"/>
      <c r="CH4" s="29"/>
      <c r="CI4" s="29"/>
      <c r="CJ4" s="29"/>
      <c r="CK4" s="29"/>
      <c r="CL4" s="29"/>
      <c r="CM4" s="29"/>
      <c r="CN4" s="29"/>
      <c r="CO4" s="29"/>
      <c r="CP4" s="29"/>
      <c r="CQ4" s="29"/>
      <c r="CR4" s="29"/>
      <c r="CS4" s="29"/>
      <c r="CT4" s="29"/>
      <c r="CU4" s="29"/>
      <c r="CV4" s="29"/>
      <c r="CW4" s="29"/>
      <c r="CX4" s="29"/>
      <c r="CY4" s="29"/>
      <c r="CZ4" s="29"/>
      <c r="DA4" s="29"/>
      <c r="DB4" s="29"/>
      <c r="DC4" s="29"/>
      <c r="DD4" s="29"/>
      <c r="DE4" s="29"/>
      <c r="DF4" s="29"/>
      <c r="DG4" s="29"/>
      <c r="DH4" s="29"/>
      <c r="DI4" s="29"/>
      <c r="DJ4" s="29"/>
      <c r="DK4" s="29"/>
      <c r="DL4" s="29"/>
      <c r="DM4" s="29"/>
      <c r="DN4" s="29"/>
      <c r="DO4" s="29"/>
      <c r="DP4" s="29"/>
      <c r="DQ4" s="29"/>
      <c r="DR4" s="29"/>
      <c r="DS4" s="29"/>
      <c r="DT4" s="29"/>
      <c r="DU4" s="29"/>
      <c r="DV4" s="29"/>
      <c r="DW4" s="29"/>
      <c r="DX4" s="29"/>
      <c r="DY4" s="29"/>
      <c r="DZ4" s="29"/>
      <c r="EA4" s="29"/>
      <c r="EB4" s="29"/>
      <c r="EC4" s="29"/>
      <c r="ED4" s="29"/>
      <c r="EE4" s="29"/>
      <c r="EF4" s="29"/>
      <c r="EG4" s="29"/>
      <c r="EH4" s="29"/>
      <c r="EI4" s="29"/>
      <c r="EJ4" s="29"/>
      <c r="EK4" s="29"/>
      <c r="EL4" s="29"/>
      <c r="EM4" s="29"/>
      <c r="EN4" s="29"/>
      <c r="EO4" s="29"/>
      <c r="EP4" s="29"/>
      <c r="EQ4" s="29"/>
      <c r="ER4" s="29"/>
      <c r="ES4" s="29"/>
      <c r="ET4" s="29"/>
      <c r="EU4" s="29"/>
      <c r="EV4" s="29"/>
      <c r="EW4" s="29"/>
      <c r="EX4" s="29"/>
      <c r="EY4" s="29"/>
      <c r="EZ4" s="29"/>
      <c r="FA4" s="29"/>
      <c r="FB4" s="29"/>
      <c r="FC4" s="29"/>
      <c r="FD4" s="29"/>
      <c r="FE4" s="29"/>
      <c r="FF4" s="29"/>
      <c r="FG4" s="29"/>
      <c r="FH4" s="29"/>
      <c r="FI4" s="29"/>
      <c r="FJ4" s="29"/>
      <c r="FK4" s="29"/>
      <c r="FL4" s="29"/>
      <c r="FM4" s="29"/>
      <c r="FN4" s="29"/>
      <c r="FO4" s="29"/>
      <c r="FP4" s="29"/>
      <c r="FQ4" s="29"/>
      <c r="FR4" s="29"/>
      <c r="FS4" s="29"/>
      <c r="FT4" s="29"/>
      <c r="FU4" s="29"/>
      <c r="FV4" s="29"/>
      <c r="FW4" s="29"/>
      <c r="FX4" s="29"/>
      <c r="FY4" s="29"/>
      <c r="FZ4" s="29"/>
      <c r="GA4" s="29"/>
      <c r="GB4" s="29"/>
      <c r="GC4" s="29"/>
      <c r="GD4" s="29"/>
      <c r="GE4" s="29"/>
      <c r="GF4" s="29"/>
      <c r="GG4" s="29"/>
      <c r="GH4" s="29"/>
      <c r="GI4" s="29"/>
      <c r="GJ4" s="29"/>
      <c r="GK4" s="29"/>
      <c r="GL4" s="29"/>
      <c r="GM4" s="29"/>
      <c r="GN4" s="29"/>
      <c r="GO4" s="29"/>
      <c r="GP4" s="29"/>
      <c r="GQ4" s="29"/>
      <c r="GR4" s="29"/>
      <c r="GS4" s="29"/>
      <c r="GT4" s="29"/>
      <c r="GU4" s="29"/>
      <c r="GV4" s="29"/>
      <c r="GW4" s="29"/>
      <c r="GX4" s="29"/>
      <c r="GY4" s="29"/>
      <c r="GZ4" s="29"/>
      <c r="HA4" s="29"/>
      <c r="HB4" s="29"/>
      <c r="HC4" s="29"/>
      <c r="HD4" s="29"/>
      <c r="HE4" s="29"/>
      <c r="HF4" s="29"/>
      <c r="HG4" s="29"/>
      <c r="HH4" s="29"/>
      <c r="HI4" s="29"/>
      <c r="HJ4" s="29"/>
      <c r="HK4" s="29"/>
      <c r="HL4" s="29"/>
      <c r="HM4" s="29"/>
      <c r="HN4" s="29"/>
      <c r="HO4" s="29"/>
      <c r="HP4" s="29"/>
      <c r="HQ4" s="29"/>
      <c r="HR4" s="29"/>
      <c r="HS4" s="29"/>
      <c r="HT4" s="29"/>
      <c r="HU4" s="29"/>
      <c r="HV4" s="29"/>
      <c r="HW4" s="29"/>
      <c r="HX4" s="29"/>
      <c r="HY4" s="29"/>
      <c r="HZ4" s="29"/>
      <c r="IA4" s="29"/>
      <c r="IB4" s="29"/>
      <c r="IC4" s="29"/>
      <c r="ID4" s="29"/>
      <c r="IE4" s="29"/>
      <c r="IF4" s="29"/>
      <c r="IG4" s="29"/>
      <c r="IH4" s="29"/>
      <c r="II4" s="29"/>
      <c r="IJ4" s="29"/>
      <c r="IK4" s="29"/>
      <c r="IL4" s="29"/>
      <c r="IM4" s="29"/>
      <c r="IN4" s="29"/>
      <c r="IO4" s="29"/>
      <c r="IP4" s="29"/>
      <c r="IQ4" s="29"/>
      <c r="IR4" s="29"/>
      <c r="IS4" s="29"/>
      <c r="IT4" s="29"/>
      <c r="IU4" s="29"/>
      <c r="IV4" s="29"/>
      <c r="IW4" s="29"/>
      <c r="IX4" s="29"/>
      <c r="IY4" s="29"/>
      <c r="IZ4" s="29"/>
      <c r="JA4" s="29"/>
      <c r="JB4" s="29"/>
      <c r="JC4" s="29"/>
      <c r="JD4" s="29"/>
      <c r="JE4" s="29"/>
      <c r="JF4" s="29"/>
      <c r="JG4" s="29"/>
      <c r="JH4" s="29"/>
      <c r="JI4" s="29"/>
      <c r="JJ4" s="29"/>
      <c r="JK4" s="29"/>
      <c r="JL4" s="29"/>
      <c r="JM4" s="29"/>
      <c r="JN4" s="29"/>
      <c r="JO4" s="29"/>
      <c r="JP4" s="29"/>
      <c r="JQ4" s="29"/>
      <c r="JR4" s="29"/>
      <c r="JS4" s="29"/>
      <c r="JT4" s="29"/>
      <c r="JU4" s="29"/>
      <c r="JV4" s="29"/>
      <c r="JW4" s="29"/>
      <c r="JX4" s="29"/>
      <c r="JY4" s="29"/>
      <c r="JZ4" s="29"/>
      <c r="KA4" s="29"/>
      <c r="KB4" s="29"/>
      <c r="KC4" s="29"/>
      <c r="KD4" s="29"/>
      <c r="KE4" s="29"/>
      <c r="KF4" s="29"/>
      <c r="KG4" s="29"/>
      <c r="KH4" s="29"/>
      <c r="KI4" s="29"/>
      <c r="KJ4" s="29"/>
      <c r="KK4" s="29"/>
      <c r="KL4" s="29"/>
      <c r="KM4" s="29"/>
      <c r="KN4" s="29"/>
      <c r="KO4" s="29"/>
      <c r="KP4" s="29"/>
      <c r="KQ4" s="29"/>
      <c r="KR4" s="29"/>
      <c r="KS4" s="29"/>
      <c r="KT4" s="29"/>
      <c r="KU4" s="29"/>
      <c r="KV4" s="29"/>
      <c r="KW4" s="29"/>
      <c r="KX4" s="29"/>
      <c r="KY4" s="29"/>
      <c r="KZ4" s="29"/>
      <c r="LA4" s="29"/>
      <c r="LB4" s="29"/>
      <c r="LC4" s="29"/>
      <c r="LD4" s="29"/>
      <c r="LE4" s="29"/>
      <c r="LF4" s="29"/>
      <c r="LG4" s="29"/>
      <c r="LH4" s="29"/>
      <c r="LI4" s="29"/>
      <c r="LJ4" s="29"/>
      <c r="LK4" s="29"/>
      <c r="LL4" s="29"/>
      <c r="LM4" s="29"/>
      <c r="LN4" s="29"/>
      <c r="LO4" s="29"/>
      <c r="LP4" s="29"/>
      <c r="LQ4" s="29"/>
      <c r="LR4" s="29"/>
      <c r="LS4" s="29"/>
      <c r="LT4" s="29"/>
      <c r="LU4" s="29"/>
      <c r="LV4" s="29"/>
      <c r="LW4" s="29"/>
      <c r="LX4" s="29"/>
      <c r="LY4" s="29"/>
      <c r="LZ4" s="29"/>
      <c r="MA4" s="29"/>
      <c r="MB4" s="29"/>
      <c r="MC4" s="29"/>
      <c r="MD4" s="29"/>
      <c r="ME4" s="29"/>
      <c r="MF4" s="29"/>
      <c r="MG4" s="26"/>
    </row>
    <row r="5" spans="1:345" x14ac:dyDescent="0.2">
      <c r="A5" s="32"/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V5" s="61">
        <v>20</v>
      </c>
      <c r="W5" s="37">
        <v>20</v>
      </c>
      <c r="X5" s="38">
        <v>5</v>
      </c>
      <c r="Y5" s="37"/>
      <c r="Z5" s="39"/>
      <c r="AA5" s="55"/>
      <c r="AB5" s="40"/>
      <c r="AC5" s="49"/>
      <c r="AE5" s="8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7"/>
      <c r="AR5" s="8"/>
      <c r="AS5" s="25"/>
      <c r="AT5" s="25"/>
      <c r="AU5" s="25"/>
      <c r="AV5" s="25"/>
      <c r="AW5" s="25"/>
      <c r="AX5" s="25"/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2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5"/>
      <c r="CH5" s="25"/>
      <c r="CI5" s="25"/>
      <c r="CJ5" s="25"/>
      <c r="CK5" s="25"/>
      <c r="CL5" s="25"/>
      <c r="CM5" s="25"/>
      <c r="CN5" s="25"/>
      <c r="CO5" s="25"/>
      <c r="CP5" s="25"/>
      <c r="CQ5" s="25"/>
      <c r="CR5" s="25"/>
      <c r="CS5" s="25"/>
      <c r="CT5" s="25"/>
      <c r="CU5" s="25"/>
      <c r="CV5" s="25"/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25"/>
      <c r="EB5" s="2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5"/>
      <c r="ER5" s="25"/>
      <c r="ES5" s="25"/>
      <c r="ET5" s="25"/>
      <c r="EU5" s="25"/>
      <c r="EV5" s="25"/>
      <c r="EW5" s="25"/>
      <c r="EX5" s="25"/>
      <c r="EY5" s="25"/>
      <c r="EZ5" s="25"/>
      <c r="FA5" s="25"/>
      <c r="FB5" s="25"/>
      <c r="FC5" s="25"/>
      <c r="FD5" s="25"/>
      <c r="FE5" s="25"/>
      <c r="FF5" s="25"/>
      <c r="FG5" s="25"/>
      <c r="FH5" s="25"/>
      <c r="FI5" s="25"/>
      <c r="FJ5" s="25"/>
      <c r="FK5" s="25"/>
      <c r="FL5" s="25"/>
      <c r="FM5" s="25"/>
      <c r="FN5" s="25"/>
      <c r="FO5" s="25"/>
      <c r="FP5" s="25"/>
      <c r="FQ5" s="25"/>
      <c r="FR5" s="25"/>
      <c r="FS5" s="25"/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25"/>
      <c r="GO5" s="25"/>
      <c r="GP5" s="25"/>
      <c r="GQ5" s="25"/>
      <c r="GR5" s="25"/>
      <c r="GS5" s="25"/>
      <c r="GT5" s="25"/>
      <c r="GU5" s="25"/>
      <c r="GV5" s="25"/>
      <c r="GW5" s="25"/>
      <c r="GX5" s="25"/>
      <c r="GY5" s="25"/>
      <c r="GZ5" s="25"/>
      <c r="HA5" s="25"/>
      <c r="HB5" s="25"/>
      <c r="HC5" s="25"/>
      <c r="HD5" s="25"/>
      <c r="HE5" s="25"/>
      <c r="HF5" s="25"/>
      <c r="HG5" s="25"/>
      <c r="HH5" s="25"/>
      <c r="HI5" s="25"/>
      <c r="HJ5" s="25"/>
      <c r="HK5" s="25"/>
      <c r="HL5" s="25"/>
      <c r="HM5" s="25"/>
      <c r="HN5" s="25"/>
      <c r="HO5" s="25"/>
      <c r="HP5" s="25"/>
      <c r="HQ5" s="25"/>
      <c r="HR5" s="25"/>
      <c r="HS5" s="25"/>
      <c r="HT5" s="25"/>
      <c r="HU5" s="25"/>
      <c r="HV5" s="25"/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25"/>
      <c r="IU5" s="25"/>
      <c r="IV5" s="25"/>
      <c r="IW5" s="25"/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25"/>
      <c r="JS5" s="25"/>
      <c r="JT5" s="25"/>
      <c r="JU5" s="25"/>
      <c r="JV5" s="25"/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25"/>
      <c r="KP5" s="25"/>
      <c r="KQ5" s="25"/>
      <c r="KR5" s="25"/>
      <c r="KS5" s="25"/>
      <c r="KT5" s="25"/>
      <c r="KU5" s="25"/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25"/>
      <c r="LS5" s="25"/>
      <c r="LT5" s="25"/>
      <c r="LU5" s="25"/>
      <c r="LV5" s="25"/>
      <c r="LW5" s="25"/>
      <c r="LX5" s="25"/>
      <c r="LY5" s="25"/>
      <c r="LZ5" s="25"/>
      <c r="MA5" s="25"/>
      <c r="MB5" s="25"/>
      <c r="MC5" s="25"/>
      <c r="MD5" s="25"/>
      <c r="ME5" s="25"/>
      <c r="MF5" s="25"/>
      <c r="MG5" s="27"/>
    </row>
    <row r="6" spans="1:345" x14ac:dyDescent="0.2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V6" s="61">
        <v>30</v>
      </c>
      <c r="W6" s="37">
        <v>30</v>
      </c>
      <c r="X6" s="38">
        <v>5</v>
      </c>
      <c r="Y6" s="37"/>
      <c r="Z6" s="39"/>
      <c r="AA6" s="55"/>
      <c r="AB6" s="40"/>
      <c r="AC6" s="49"/>
      <c r="AE6" s="8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7"/>
      <c r="AR6" s="8"/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25"/>
      <c r="BU6" s="25"/>
      <c r="BV6" s="25"/>
      <c r="BW6" s="25"/>
      <c r="BX6" s="25"/>
      <c r="BY6" s="25"/>
      <c r="BZ6" s="25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2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25"/>
      <c r="EP6" s="25"/>
      <c r="EQ6" s="25"/>
      <c r="ER6" s="25"/>
      <c r="ES6" s="25"/>
      <c r="ET6" s="25"/>
      <c r="EU6" s="25"/>
      <c r="EV6" s="25"/>
      <c r="EW6" s="25"/>
      <c r="EX6" s="25"/>
      <c r="EY6" s="25"/>
      <c r="EZ6" s="25"/>
      <c r="FA6" s="25"/>
      <c r="FB6" s="25"/>
      <c r="FC6" s="25"/>
      <c r="FD6" s="25"/>
      <c r="FE6" s="25"/>
      <c r="FF6" s="25"/>
      <c r="FG6" s="25"/>
      <c r="FH6" s="25"/>
      <c r="FI6" s="25"/>
      <c r="FJ6" s="25"/>
      <c r="FK6" s="25"/>
      <c r="FL6" s="25"/>
      <c r="FM6" s="25"/>
      <c r="FN6" s="25"/>
      <c r="FO6" s="25"/>
      <c r="FP6" s="25"/>
      <c r="FQ6" s="25"/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25"/>
      <c r="GH6" s="25"/>
      <c r="GI6" s="25"/>
      <c r="GJ6" s="25"/>
      <c r="GK6" s="25"/>
      <c r="GL6" s="25"/>
      <c r="GM6" s="25"/>
      <c r="GN6" s="25"/>
      <c r="GO6" s="25"/>
      <c r="GP6" s="25"/>
      <c r="GQ6" s="25"/>
      <c r="GR6" s="25"/>
      <c r="GS6" s="25"/>
      <c r="GT6" s="25"/>
      <c r="GU6" s="25"/>
      <c r="GV6" s="25"/>
      <c r="GW6" s="25"/>
      <c r="GX6" s="25"/>
      <c r="GY6" s="25"/>
      <c r="GZ6" s="25"/>
      <c r="HA6" s="25"/>
      <c r="HB6" s="25"/>
      <c r="HC6" s="25"/>
      <c r="HD6" s="25"/>
      <c r="HE6" s="25"/>
      <c r="HF6" s="25"/>
      <c r="HG6" s="25"/>
      <c r="HH6" s="25"/>
      <c r="HI6" s="25"/>
      <c r="HJ6" s="25"/>
      <c r="HK6" s="25"/>
      <c r="HL6" s="25"/>
      <c r="HM6" s="25"/>
      <c r="HN6" s="25"/>
      <c r="HO6" s="25"/>
      <c r="HP6" s="25"/>
      <c r="HQ6" s="25"/>
      <c r="HR6" s="25"/>
      <c r="HS6" s="25"/>
      <c r="HT6" s="25"/>
      <c r="HU6" s="25"/>
      <c r="HV6" s="25"/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25"/>
      <c r="IU6" s="25"/>
      <c r="IV6" s="25"/>
      <c r="IW6" s="25"/>
      <c r="IX6" s="25"/>
      <c r="IY6" s="25"/>
      <c r="IZ6" s="25"/>
      <c r="JA6" s="25"/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25"/>
      <c r="JR6" s="25"/>
      <c r="JS6" s="25"/>
      <c r="JT6" s="25"/>
      <c r="JU6" s="25"/>
      <c r="JV6" s="25"/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25"/>
      <c r="KO6" s="25"/>
      <c r="KP6" s="25"/>
      <c r="KQ6" s="25"/>
      <c r="KR6" s="25"/>
      <c r="KS6" s="25"/>
      <c r="KT6" s="25"/>
      <c r="KU6" s="25"/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25"/>
      <c r="LR6" s="25"/>
      <c r="LS6" s="25"/>
      <c r="LT6" s="25"/>
      <c r="LU6" s="25"/>
      <c r="LV6" s="25"/>
      <c r="LW6" s="25"/>
      <c r="LX6" s="25"/>
      <c r="LY6" s="25"/>
      <c r="LZ6" s="25"/>
      <c r="MA6" s="25"/>
      <c r="MB6" s="25"/>
      <c r="MC6" s="25"/>
      <c r="MD6" s="25"/>
      <c r="ME6" s="25"/>
      <c r="MF6" s="25"/>
      <c r="MG6" s="27"/>
    </row>
    <row r="7" spans="1:345" x14ac:dyDescent="0.2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V7" s="61">
        <v>40</v>
      </c>
      <c r="W7" s="37">
        <v>40</v>
      </c>
      <c r="X7" s="38">
        <v>5</v>
      </c>
      <c r="Y7" s="37"/>
      <c r="Z7" s="39"/>
      <c r="AA7" s="55"/>
      <c r="AB7" s="40"/>
      <c r="AC7" s="49"/>
      <c r="AE7" s="8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7"/>
      <c r="AR7" s="8"/>
      <c r="AS7" s="25"/>
      <c r="AT7" s="25"/>
      <c r="AU7" s="25"/>
      <c r="AV7" s="25"/>
      <c r="AW7" s="25"/>
      <c r="AX7" s="25"/>
      <c r="AY7" s="25"/>
      <c r="AZ7" s="25"/>
      <c r="BA7" s="25"/>
      <c r="BB7" s="25"/>
      <c r="BC7" s="25"/>
      <c r="BD7" s="25"/>
      <c r="BE7" s="25"/>
      <c r="BF7" s="25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25"/>
      <c r="BU7" s="25"/>
      <c r="BV7" s="25"/>
      <c r="BW7" s="25"/>
      <c r="BX7" s="25"/>
      <c r="BY7" s="25"/>
      <c r="BZ7" s="25"/>
      <c r="CA7" s="25"/>
      <c r="CB7" s="25"/>
      <c r="CC7" s="25"/>
      <c r="CD7" s="25"/>
      <c r="CE7" s="25"/>
      <c r="CF7" s="25"/>
      <c r="CG7" s="25"/>
      <c r="CH7" s="25"/>
      <c r="CI7" s="25"/>
      <c r="CJ7" s="25"/>
      <c r="CK7" s="25"/>
      <c r="CL7" s="25"/>
      <c r="CM7" s="25"/>
      <c r="CN7" s="25"/>
      <c r="CO7" s="25"/>
      <c r="CP7" s="25"/>
      <c r="CQ7" s="25"/>
      <c r="CR7" s="25"/>
      <c r="CS7" s="25"/>
      <c r="CT7" s="25"/>
      <c r="CU7" s="25"/>
      <c r="CV7" s="25"/>
      <c r="CW7" s="25"/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25"/>
      <c r="EA7" s="25"/>
      <c r="EB7" s="25"/>
      <c r="EC7" s="25"/>
      <c r="ED7" s="25"/>
      <c r="EE7" s="25"/>
      <c r="EF7" s="25"/>
      <c r="EG7" s="25"/>
      <c r="EH7" s="25"/>
      <c r="EI7" s="25"/>
      <c r="EJ7" s="25"/>
      <c r="EK7" s="25"/>
      <c r="EL7" s="25"/>
      <c r="EM7" s="25"/>
      <c r="EN7" s="25"/>
      <c r="EO7" s="25"/>
      <c r="EP7" s="25"/>
      <c r="EQ7" s="25"/>
      <c r="ER7" s="25"/>
      <c r="ES7" s="25"/>
      <c r="ET7" s="25"/>
      <c r="EU7" s="25"/>
      <c r="EV7" s="25"/>
      <c r="EW7" s="25"/>
      <c r="EX7" s="25"/>
      <c r="EY7" s="25"/>
      <c r="EZ7" s="25"/>
      <c r="FA7" s="25"/>
      <c r="FB7" s="25"/>
      <c r="FC7" s="25"/>
      <c r="FD7" s="25"/>
      <c r="FE7" s="25"/>
      <c r="FF7" s="25"/>
      <c r="FG7" s="25"/>
      <c r="FH7" s="25"/>
      <c r="FI7" s="25"/>
      <c r="FJ7" s="25"/>
      <c r="FK7" s="25"/>
      <c r="FL7" s="25"/>
      <c r="FM7" s="25"/>
      <c r="FN7" s="25"/>
      <c r="FO7" s="25"/>
      <c r="FP7" s="25"/>
      <c r="FQ7" s="25"/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25"/>
      <c r="GO7" s="25"/>
      <c r="GP7" s="25"/>
      <c r="GQ7" s="25"/>
      <c r="GR7" s="25"/>
      <c r="GS7" s="25"/>
      <c r="GT7" s="25"/>
      <c r="GU7" s="25"/>
      <c r="GV7" s="25"/>
      <c r="GW7" s="25"/>
      <c r="GX7" s="25"/>
      <c r="GY7" s="25"/>
      <c r="GZ7" s="25"/>
      <c r="HA7" s="25"/>
      <c r="HB7" s="25"/>
      <c r="HC7" s="25"/>
      <c r="HD7" s="25"/>
      <c r="HE7" s="25"/>
      <c r="HF7" s="25"/>
      <c r="HG7" s="25"/>
      <c r="HH7" s="25"/>
      <c r="HI7" s="25"/>
      <c r="HJ7" s="25"/>
      <c r="HK7" s="25"/>
      <c r="HL7" s="25"/>
      <c r="HM7" s="25"/>
      <c r="HN7" s="25"/>
      <c r="HO7" s="25"/>
      <c r="HP7" s="25"/>
      <c r="HQ7" s="25"/>
      <c r="HR7" s="25"/>
      <c r="HS7" s="25"/>
      <c r="HT7" s="25"/>
      <c r="HU7" s="25"/>
      <c r="HV7" s="25"/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25"/>
      <c r="IU7" s="25"/>
      <c r="IV7" s="25"/>
      <c r="IW7" s="25"/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25"/>
      <c r="JR7" s="25"/>
      <c r="JS7" s="25"/>
      <c r="JT7" s="25"/>
      <c r="JU7" s="25"/>
      <c r="JV7" s="25"/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25"/>
      <c r="KP7" s="25"/>
      <c r="KQ7" s="25"/>
      <c r="KR7" s="25"/>
      <c r="KS7" s="25"/>
      <c r="KT7" s="25"/>
      <c r="KU7" s="25"/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25"/>
      <c r="LR7" s="25"/>
      <c r="LS7" s="25"/>
      <c r="LT7" s="25"/>
      <c r="LU7" s="25"/>
      <c r="LV7" s="25"/>
      <c r="LW7" s="25"/>
      <c r="LX7" s="25"/>
      <c r="LY7" s="25"/>
      <c r="LZ7" s="25"/>
      <c r="MA7" s="25"/>
      <c r="MB7" s="25"/>
      <c r="MC7" s="25"/>
      <c r="MD7" s="25"/>
      <c r="ME7" s="25"/>
      <c r="MF7" s="25"/>
      <c r="MG7" s="27"/>
    </row>
    <row r="8" spans="1:345" x14ac:dyDescent="0.2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V8" s="61">
        <v>50</v>
      </c>
      <c r="W8" s="37">
        <v>50</v>
      </c>
      <c r="X8" s="38">
        <v>5</v>
      </c>
      <c r="Y8" s="37"/>
      <c r="Z8" s="39"/>
      <c r="AA8" s="55"/>
      <c r="AB8" s="40"/>
      <c r="AC8" s="49"/>
      <c r="AE8" s="8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7"/>
      <c r="AR8" s="8"/>
      <c r="AS8" s="25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2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25"/>
      <c r="CJ8" s="25"/>
      <c r="CK8" s="25"/>
      <c r="CL8" s="25"/>
      <c r="CM8" s="25"/>
      <c r="CN8" s="25"/>
      <c r="CO8" s="25"/>
      <c r="CP8" s="25"/>
      <c r="CQ8" s="25"/>
      <c r="CR8" s="25"/>
      <c r="CS8" s="25"/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25"/>
      <c r="EP8" s="25"/>
      <c r="EQ8" s="25"/>
      <c r="ER8" s="25"/>
      <c r="ES8" s="25"/>
      <c r="ET8" s="25"/>
      <c r="EU8" s="25"/>
      <c r="EV8" s="25"/>
      <c r="EW8" s="25"/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25"/>
      <c r="FL8" s="25"/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25"/>
      <c r="GO8" s="25"/>
      <c r="GP8" s="25"/>
      <c r="GQ8" s="25"/>
      <c r="GR8" s="25"/>
      <c r="GS8" s="25"/>
      <c r="GT8" s="25"/>
      <c r="GU8" s="25"/>
      <c r="GV8" s="25"/>
      <c r="GW8" s="25"/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5"/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25"/>
      <c r="IU8" s="25"/>
      <c r="IV8" s="25"/>
      <c r="IW8" s="25"/>
      <c r="IX8" s="25"/>
      <c r="IY8" s="25"/>
      <c r="IZ8" s="25"/>
      <c r="JA8" s="25"/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25"/>
      <c r="JR8" s="25"/>
      <c r="JS8" s="25"/>
      <c r="JT8" s="25"/>
      <c r="JU8" s="25"/>
      <c r="JV8" s="25"/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25"/>
      <c r="KP8" s="25"/>
      <c r="KQ8" s="25"/>
      <c r="KR8" s="25"/>
      <c r="KS8" s="25"/>
      <c r="KT8" s="25"/>
      <c r="KU8" s="25"/>
      <c r="KV8" s="25"/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25"/>
      <c r="LR8" s="25"/>
      <c r="LS8" s="25"/>
      <c r="LT8" s="25"/>
      <c r="LU8" s="25"/>
      <c r="LV8" s="25"/>
      <c r="LW8" s="25"/>
      <c r="LX8" s="25"/>
      <c r="LY8" s="25"/>
      <c r="LZ8" s="25"/>
      <c r="MA8" s="25"/>
      <c r="MB8" s="25"/>
      <c r="MC8" s="25"/>
      <c r="MD8" s="25"/>
      <c r="ME8" s="25"/>
      <c r="MF8" s="25"/>
      <c r="MG8" s="27"/>
    </row>
    <row r="9" spans="1:345" x14ac:dyDescent="0.2">
      <c r="A9" s="32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V9" s="61">
        <v>10</v>
      </c>
      <c r="W9" s="38">
        <v>5</v>
      </c>
      <c r="X9" s="38">
        <v>10</v>
      </c>
      <c r="Y9" s="38"/>
      <c r="Z9" s="40"/>
      <c r="AA9" s="49"/>
      <c r="AB9" s="40"/>
      <c r="AC9" s="49"/>
      <c r="AE9" s="8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7"/>
      <c r="AR9" s="8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25"/>
      <c r="CN9" s="2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25"/>
      <c r="EV9" s="25"/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25"/>
      <c r="FL9" s="25"/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25"/>
      <c r="HI9" s="25"/>
      <c r="HJ9" s="25"/>
      <c r="HK9" s="25"/>
      <c r="HL9" s="25"/>
      <c r="HM9" s="25"/>
      <c r="HN9" s="25"/>
      <c r="HO9" s="25"/>
      <c r="HP9" s="25"/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  <c r="IW9" s="25"/>
      <c r="IX9" s="25"/>
      <c r="IY9" s="25"/>
      <c r="IZ9" s="25"/>
      <c r="JA9" s="25"/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25"/>
      <c r="JR9" s="25"/>
      <c r="JS9" s="25"/>
      <c r="JT9" s="25"/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25"/>
      <c r="KP9" s="25"/>
      <c r="KQ9" s="25"/>
      <c r="KR9" s="25"/>
      <c r="KS9" s="25"/>
      <c r="KT9" s="25"/>
      <c r="KU9" s="25"/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25"/>
      <c r="LR9" s="25"/>
      <c r="LS9" s="25"/>
      <c r="LT9" s="25"/>
      <c r="LU9" s="25"/>
      <c r="LV9" s="25"/>
      <c r="LW9" s="25"/>
      <c r="LX9" s="25"/>
      <c r="LY9" s="25"/>
      <c r="LZ9" s="25"/>
      <c r="MA9" s="25"/>
      <c r="MB9" s="25"/>
      <c r="MC9" s="25"/>
      <c r="MD9" s="25"/>
      <c r="ME9" s="25"/>
      <c r="MF9" s="25"/>
      <c r="MG9" s="27"/>
    </row>
    <row r="10" spans="1:345" x14ac:dyDescent="0.2">
      <c r="A10" s="32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V10" s="61">
        <v>20</v>
      </c>
      <c r="W10" s="38">
        <v>5</v>
      </c>
      <c r="X10" s="38">
        <v>20</v>
      </c>
      <c r="Y10" s="38"/>
      <c r="Z10" s="40"/>
      <c r="AA10" s="49"/>
      <c r="AB10" s="40"/>
      <c r="AC10" s="49"/>
      <c r="AE10" s="8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7"/>
      <c r="AR10" s="8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  <c r="GT10" s="25"/>
      <c r="GU10" s="25"/>
      <c r="GV10" s="25"/>
      <c r="GW10" s="25"/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25"/>
      <c r="HI10" s="25"/>
      <c r="HJ10" s="25"/>
      <c r="HK10" s="25"/>
      <c r="HL10" s="25"/>
      <c r="HM10" s="25"/>
      <c r="HN10" s="25"/>
      <c r="HO10" s="25"/>
      <c r="HP10" s="25"/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25"/>
      <c r="JM10" s="25"/>
      <c r="JN10" s="25"/>
      <c r="JO10" s="25"/>
      <c r="JP10" s="25"/>
      <c r="JQ10" s="25"/>
      <c r="JR10" s="25"/>
      <c r="JS10" s="25"/>
      <c r="JT10" s="25"/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25"/>
      <c r="KP10" s="25"/>
      <c r="KQ10" s="25"/>
      <c r="KR10" s="25"/>
      <c r="KS10" s="25"/>
      <c r="KT10" s="25"/>
      <c r="KU10" s="25"/>
      <c r="KV10" s="25"/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25"/>
      <c r="LR10" s="25"/>
      <c r="LS10" s="25"/>
      <c r="LT10" s="25"/>
      <c r="LU10" s="25"/>
      <c r="LV10" s="25"/>
      <c r="LW10" s="25"/>
      <c r="LX10" s="25"/>
      <c r="LY10" s="25"/>
      <c r="LZ10" s="25"/>
      <c r="MA10" s="25"/>
      <c r="MB10" s="25"/>
      <c r="MC10" s="25"/>
      <c r="MD10" s="25"/>
      <c r="ME10" s="25"/>
      <c r="MF10" s="25"/>
      <c r="MG10" s="27"/>
    </row>
    <row r="11" spans="1:345" x14ac:dyDescent="0.2">
      <c r="A11" s="32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V11" s="61">
        <v>30</v>
      </c>
      <c r="W11" s="38">
        <v>5</v>
      </c>
      <c r="X11" s="38">
        <v>30</v>
      </c>
      <c r="Y11" s="38"/>
      <c r="Z11" s="40"/>
      <c r="AA11" s="49"/>
      <c r="AB11" s="40"/>
      <c r="AC11" s="49"/>
      <c r="AE11" s="8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7"/>
      <c r="AR11" s="8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25"/>
      <c r="CN11" s="25"/>
      <c r="CO11" s="25"/>
      <c r="CP11" s="25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25"/>
      <c r="ER11" s="25"/>
      <c r="ES11" s="25"/>
      <c r="ET11" s="25"/>
      <c r="EU11" s="25"/>
      <c r="EV11" s="25"/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25"/>
      <c r="FL11" s="25"/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25"/>
      <c r="GQ11" s="25"/>
      <c r="GR11" s="25"/>
      <c r="GS11" s="25"/>
      <c r="GT11" s="25"/>
      <c r="GU11" s="25"/>
      <c r="GV11" s="25"/>
      <c r="GW11" s="25"/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25"/>
      <c r="HI11" s="25"/>
      <c r="HJ11" s="25"/>
      <c r="HK11" s="25"/>
      <c r="HL11" s="25"/>
      <c r="HM11" s="25"/>
      <c r="HN11" s="25"/>
      <c r="HO11" s="25"/>
      <c r="HP11" s="25"/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25"/>
      <c r="JM11" s="25"/>
      <c r="JN11" s="25"/>
      <c r="JO11" s="25"/>
      <c r="JP11" s="25"/>
      <c r="JQ11" s="25"/>
      <c r="JR11" s="25"/>
      <c r="JS11" s="25"/>
      <c r="JT11" s="25"/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25"/>
      <c r="KP11" s="25"/>
      <c r="KQ11" s="25"/>
      <c r="KR11" s="25"/>
      <c r="KS11" s="25"/>
      <c r="KT11" s="25"/>
      <c r="KU11" s="25"/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25"/>
      <c r="LR11" s="25"/>
      <c r="LS11" s="25"/>
      <c r="LT11" s="25"/>
      <c r="LU11" s="25"/>
      <c r="LV11" s="25"/>
      <c r="LW11" s="25"/>
      <c r="LX11" s="25"/>
      <c r="LY11" s="25"/>
      <c r="LZ11" s="25"/>
      <c r="MA11" s="25"/>
      <c r="MB11" s="25"/>
      <c r="MC11" s="25"/>
      <c r="MD11" s="25"/>
      <c r="ME11" s="25"/>
      <c r="MF11" s="25"/>
      <c r="MG11" s="27"/>
    </row>
    <row r="12" spans="1:345" x14ac:dyDescent="0.2">
      <c r="A12" s="32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V12" s="61">
        <v>40</v>
      </c>
      <c r="W12" s="38">
        <v>5</v>
      </c>
      <c r="X12" s="38">
        <v>40</v>
      </c>
      <c r="Y12" s="38"/>
      <c r="Z12" s="40"/>
      <c r="AA12" s="49"/>
      <c r="AB12" s="40"/>
      <c r="AC12" s="49"/>
      <c r="AE12" s="8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7"/>
      <c r="AR12" s="8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25"/>
      <c r="ER12" s="25"/>
      <c r="ES12" s="25"/>
      <c r="ET12" s="25"/>
      <c r="EU12" s="25"/>
      <c r="EV12" s="25"/>
      <c r="EW12" s="25"/>
      <c r="EX12" s="25"/>
      <c r="EY12" s="25"/>
      <c r="EZ12" s="25"/>
      <c r="FA12" s="25"/>
      <c r="FB12" s="25"/>
      <c r="FC12" s="25"/>
      <c r="FD12" s="25"/>
      <c r="FE12" s="25"/>
      <c r="FF12" s="25"/>
      <c r="FG12" s="25"/>
      <c r="FH12" s="25"/>
      <c r="FI12" s="25"/>
      <c r="FJ12" s="25"/>
      <c r="FK12" s="25"/>
      <c r="FL12" s="25"/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25"/>
      <c r="GQ12" s="25"/>
      <c r="GR12" s="25"/>
      <c r="GS12" s="25"/>
      <c r="GT12" s="25"/>
      <c r="GU12" s="25"/>
      <c r="GV12" s="25"/>
      <c r="GW12" s="25"/>
      <c r="GX12" s="25"/>
      <c r="GY12" s="25"/>
      <c r="GZ12" s="25"/>
      <c r="HA12" s="25"/>
      <c r="HB12" s="25"/>
      <c r="HC12" s="25"/>
      <c r="HD12" s="25"/>
      <c r="HE12" s="25"/>
      <c r="HF12" s="25"/>
      <c r="HG12" s="25"/>
      <c r="HH12" s="25"/>
      <c r="HI12" s="25"/>
      <c r="HJ12" s="25"/>
      <c r="HK12" s="25"/>
      <c r="HL12" s="25"/>
      <c r="HM12" s="25"/>
      <c r="HN12" s="25"/>
      <c r="HO12" s="25"/>
      <c r="HP12" s="25"/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25"/>
      <c r="JM12" s="25"/>
      <c r="JN12" s="25"/>
      <c r="JO12" s="25"/>
      <c r="JP12" s="25"/>
      <c r="JQ12" s="25"/>
      <c r="JR12" s="25"/>
      <c r="JS12" s="25"/>
      <c r="JT12" s="25"/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25"/>
      <c r="KP12" s="25"/>
      <c r="KQ12" s="25"/>
      <c r="KR12" s="25"/>
      <c r="KS12" s="25"/>
      <c r="KT12" s="25"/>
      <c r="KU12" s="25"/>
      <c r="KV12" s="25"/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25"/>
      <c r="LQ12" s="25"/>
      <c r="LR12" s="25"/>
      <c r="LS12" s="25"/>
      <c r="LT12" s="25"/>
      <c r="LU12" s="25"/>
      <c r="LV12" s="25"/>
      <c r="LW12" s="25"/>
      <c r="LX12" s="25"/>
      <c r="LY12" s="25"/>
      <c r="LZ12" s="25"/>
      <c r="MA12" s="25"/>
      <c r="MB12" s="25"/>
      <c r="MC12" s="25"/>
      <c r="MD12" s="25"/>
      <c r="ME12" s="25"/>
      <c r="MF12" s="25"/>
      <c r="MG12" s="27"/>
    </row>
    <row r="13" spans="1:345" x14ac:dyDescent="0.2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V13" s="62">
        <v>50</v>
      </c>
      <c r="W13" s="42">
        <v>5</v>
      </c>
      <c r="X13" s="42">
        <v>50</v>
      </c>
      <c r="Y13" s="42"/>
      <c r="Z13" s="43"/>
      <c r="AA13" s="50"/>
      <c r="AB13" s="43"/>
      <c r="AC13" s="50"/>
      <c r="AE13" s="14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28"/>
      <c r="AR13" s="14"/>
      <c r="AS13" s="30"/>
      <c r="AT13" s="30"/>
      <c r="AU13" s="30"/>
      <c r="AV13" s="30"/>
      <c r="AW13" s="30"/>
      <c r="AX13" s="30"/>
      <c r="AY13" s="30"/>
      <c r="AZ13" s="30"/>
      <c r="BA13" s="30"/>
      <c r="BB13" s="30"/>
      <c r="BC13" s="30"/>
      <c r="BD13" s="30"/>
      <c r="BE13" s="30"/>
      <c r="BF13" s="30"/>
      <c r="BG13" s="30"/>
      <c r="BH13" s="30"/>
      <c r="BI13" s="30"/>
      <c r="BJ13" s="30"/>
      <c r="BK13" s="30"/>
      <c r="BL13" s="30"/>
      <c r="BM13" s="30"/>
      <c r="BN13" s="30"/>
      <c r="BO13" s="30"/>
      <c r="BP13" s="30"/>
      <c r="BQ13" s="30"/>
      <c r="BR13" s="30"/>
      <c r="BS13" s="30"/>
      <c r="BT13" s="30"/>
      <c r="BU13" s="30"/>
      <c r="BV13" s="30"/>
      <c r="BW13" s="30"/>
      <c r="BX13" s="30"/>
      <c r="BY13" s="30"/>
      <c r="BZ13" s="30"/>
      <c r="CA13" s="30"/>
      <c r="CB13" s="30"/>
      <c r="CC13" s="30"/>
      <c r="CD13" s="30"/>
      <c r="CE13" s="30"/>
      <c r="CF13" s="30"/>
      <c r="CG13" s="30"/>
      <c r="CH13" s="30"/>
      <c r="CI13" s="30"/>
      <c r="CJ13" s="30"/>
      <c r="CK13" s="30"/>
      <c r="CL13" s="30"/>
      <c r="CM13" s="30"/>
      <c r="CN13" s="30"/>
      <c r="CO13" s="30"/>
      <c r="CP13" s="30"/>
      <c r="CQ13" s="30"/>
      <c r="CR13" s="30"/>
      <c r="CS13" s="30"/>
      <c r="CT13" s="30"/>
      <c r="CU13" s="30"/>
      <c r="CV13" s="30"/>
      <c r="CW13" s="30"/>
      <c r="CX13" s="30"/>
      <c r="CY13" s="30"/>
      <c r="CZ13" s="30"/>
      <c r="DA13" s="30"/>
      <c r="DB13" s="30"/>
      <c r="DC13" s="30"/>
      <c r="DD13" s="30"/>
      <c r="DE13" s="30"/>
      <c r="DF13" s="30"/>
      <c r="DG13" s="30"/>
      <c r="DH13" s="30"/>
      <c r="DI13" s="30"/>
      <c r="DJ13" s="30"/>
      <c r="DK13" s="30"/>
      <c r="DL13" s="30"/>
      <c r="DM13" s="30"/>
      <c r="DN13" s="30"/>
      <c r="DO13" s="30"/>
      <c r="DP13" s="30"/>
      <c r="DQ13" s="30"/>
      <c r="DR13" s="30"/>
      <c r="DS13" s="30"/>
      <c r="DT13" s="30"/>
      <c r="DU13" s="30"/>
      <c r="DV13" s="30"/>
      <c r="DW13" s="30"/>
      <c r="DX13" s="30"/>
      <c r="DY13" s="30"/>
      <c r="DZ13" s="30"/>
      <c r="EA13" s="30"/>
      <c r="EB13" s="30"/>
      <c r="EC13" s="30"/>
      <c r="ED13" s="30"/>
      <c r="EE13" s="30"/>
      <c r="EF13" s="30"/>
      <c r="EG13" s="30"/>
      <c r="EH13" s="30"/>
      <c r="EI13" s="30"/>
      <c r="EJ13" s="30"/>
      <c r="EK13" s="30"/>
      <c r="EL13" s="30"/>
      <c r="EM13" s="30"/>
      <c r="EN13" s="30"/>
      <c r="EO13" s="30"/>
      <c r="EP13" s="30"/>
      <c r="EQ13" s="30"/>
      <c r="ER13" s="30"/>
      <c r="ES13" s="30"/>
      <c r="ET13" s="30"/>
      <c r="EU13" s="30"/>
      <c r="EV13" s="30"/>
      <c r="EW13" s="30"/>
      <c r="EX13" s="30"/>
      <c r="EY13" s="30"/>
      <c r="EZ13" s="30"/>
      <c r="FA13" s="30"/>
      <c r="FB13" s="30"/>
      <c r="FC13" s="30"/>
      <c r="FD13" s="30"/>
      <c r="FE13" s="30"/>
      <c r="FF13" s="30"/>
      <c r="FG13" s="30"/>
      <c r="FH13" s="30"/>
      <c r="FI13" s="30"/>
      <c r="FJ13" s="30"/>
      <c r="FK13" s="30"/>
      <c r="FL13" s="30"/>
      <c r="FM13" s="30"/>
      <c r="FN13" s="30"/>
      <c r="FO13" s="30"/>
      <c r="FP13" s="30"/>
      <c r="FQ13" s="30"/>
      <c r="FR13" s="30"/>
      <c r="FS13" s="30"/>
      <c r="FT13" s="30"/>
      <c r="FU13" s="30"/>
      <c r="FV13" s="30"/>
      <c r="FW13" s="30"/>
      <c r="FX13" s="30"/>
      <c r="FY13" s="30"/>
      <c r="FZ13" s="30"/>
      <c r="GA13" s="30"/>
      <c r="GB13" s="30"/>
      <c r="GC13" s="30"/>
      <c r="GD13" s="30"/>
      <c r="GE13" s="30"/>
      <c r="GF13" s="30"/>
      <c r="GG13" s="30"/>
      <c r="GH13" s="30"/>
      <c r="GI13" s="30"/>
      <c r="GJ13" s="30"/>
      <c r="GK13" s="30"/>
      <c r="GL13" s="30"/>
      <c r="GM13" s="30"/>
      <c r="GN13" s="30"/>
      <c r="GO13" s="30"/>
      <c r="GP13" s="30"/>
      <c r="GQ13" s="30"/>
      <c r="GR13" s="30"/>
      <c r="GS13" s="30"/>
      <c r="GT13" s="30"/>
      <c r="GU13" s="30"/>
      <c r="GV13" s="30"/>
      <c r="GW13" s="30"/>
      <c r="GX13" s="30"/>
      <c r="GY13" s="30"/>
      <c r="GZ13" s="30"/>
      <c r="HA13" s="30"/>
      <c r="HB13" s="30"/>
      <c r="HC13" s="30"/>
      <c r="HD13" s="30"/>
      <c r="HE13" s="30"/>
      <c r="HF13" s="30"/>
      <c r="HG13" s="30"/>
      <c r="HH13" s="30"/>
      <c r="HI13" s="30"/>
      <c r="HJ13" s="30"/>
      <c r="HK13" s="30"/>
      <c r="HL13" s="30"/>
      <c r="HM13" s="30"/>
      <c r="HN13" s="30"/>
      <c r="HO13" s="30"/>
      <c r="HP13" s="30"/>
      <c r="HQ13" s="30"/>
      <c r="HR13" s="30"/>
      <c r="HS13" s="30"/>
      <c r="HT13" s="30"/>
      <c r="HU13" s="30"/>
      <c r="HV13" s="30"/>
      <c r="HW13" s="30"/>
      <c r="HX13" s="30"/>
      <c r="HY13" s="30"/>
      <c r="HZ13" s="30"/>
      <c r="IA13" s="30"/>
      <c r="IB13" s="30"/>
      <c r="IC13" s="30"/>
      <c r="ID13" s="30"/>
      <c r="IE13" s="30"/>
      <c r="IF13" s="30"/>
      <c r="IG13" s="30"/>
      <c r="IH13" s="30"/>
      <c r="II13" s="30"/>
      <c r="IJ13" s="30"/>
      <c r="IK13" s="30"/>
      <c r="IL13" s="30"/>
      <c r="IM13" s="30"/>
      <c r="IN13" s="30"/>
      <c r="IO13" s="30"/>
      <c r="IP13" s="30"/>
      <c r="IQ13" s="30"/>
      <c r="IR13" s="30"/>
      <c r="IS13" s="30"/>
      <c r="IT13" s="30"/>
      <c r="IU13" s="30"/>
      <c r="IV13" s="30"/>
      <c r="IW13" s="30"/>
      <c r="IX13" s="30"/>
      <c r="IY13" s="30"/>
      <c r="IZ13" s="30"/>
      <c r="JA13" s="30"/>
      <c r="JB13" s="30"/>
      <c r="JC13" s="30"/>
      <c r="JD13" s="30"/>
      <c r="JE13" s="30"/>
      <c r="JF13" s="30"/>
      <c r="JG13" s="30"/>
      <c r="JH13" s="30"/>
      <c r="JI13" s="30"/>
      <c r="JJ13" s="30"/>
      <c r="JK13" s="30"/>
      <c r="JL13" s="30"/>
      <c r="JM13" s="30"/>
      <c r="JN13" s="30"/>
      <c r="JO13" s="30"/>
      <c r="JP13" s="30"/>
      <c r="JQ13" s="30"/>
      <c r="JR13" s="30"/>
      <c r="JS13" s="30"/>
      <c r="JT13" s="30"/>
      <c r="JU13" s="30"/>
      <c r="JV13" s="30"/>
      <c r="JW13" s="30"/>
      <c r="JX13" s="30"/>
      <c r="JY13" s="30"/>
      <c r="JZ13" s="30"/>
      <c r="KA13" s="30"/>
      <c r="KB13" s="30"/>
      <c r="KC13" s="30"/>
      <c r="KD13" s="30"/>
      <c r="KE13" s="30"/>
      <c r="KF13" s="30"/>
      <c r="KG13" s="30"/>
      <c r="KH13" s="30"/>
      <c r="KI13" s="30"/>
      <c r="KJ13" s="30"/>
      <c r="KK13" s="30"/>
      <c r="KL13" s="30"/>
      <c r="KM13" s="30"/>
      <c r="KN13" s="30"/>
      <c r="KO13" s="30"/>
      <c r="KP13" s="30"/>
      <c r="KQ13" s="30"/>
      <c r="KR13" s="30"/>
      <c r="KS13" s="30"/>
      <c r="KT13" s="30"/>
      <c r="KU13" s="30"/>
      <c r="KV13" s="30"/>
      <c r="KW13" s="30"/>
      <c r="KX13" s="30"/>
      <c r="KY13" s="30"/>
      <c r="KZ13" s="30"/>
      <c r="LA13" s="30"/>
      <c r="LB13" s="30"/>
      <c r="LC13" s="30"/>
      <c r="LD13" s="30"/>
      <c r="LE13" s="30"/>
      <c r="LF13" s="30"/>
      <c r="LG13" s="30"/>
      <c r="LH13" s="30"/>
      <c r="LI13" s="30"/>
      <c r="LJ13" s="30"/>
      <c r="LK13" s="30"/>
      <c r="LL13" s="30"/>
      <c r="LM13" s="30"/>
      <c r="LN13" s="30"/>
      <c r="LO13" s="30"/>
      <c r="LP13" s="30"/>
      <c r="LQ13" s="30"/>
      <c r="LR13" s="30"/>
      <c r="LS13" s="30"/>
      <c r="LT13" s="30"/>
      <c r="LU13" s="30"/>
      <c r="LV13" s="30"/>
      <c r="LW13" s="30"/>
      <c r="LX13" s="30"/>
      <c r="LY13" s="30"/>
      <c r="LZ13" s="30"/>
      <c r="MA13" s="30"/>
      <c r="MB13" s="30"/>
      <c r="MC13" s="30"/>
      <c r="MD13" s="30"/>
      <c r="ME13" s="30"/>
      <c r="MF13" s="30"/>
      <c r="MG13" s="28"/>
    </row>
    <row r="14" spans="1:345" x14ac:dyDescent="0.2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V14" s="8" t="s">
        <v>41</v>
      </c>
      <c r="W14" s="38">
        <f t="shared" ref="W14:W21" si="5">IF(LEN(AA14)&gt;0,AA14,Z14)</f>
        <v>5</v>
      </c>
      <c r="X14" s="38">
        <f t="shared" ref="X14:X21" si="6">IF(LEN(AC14)&gt;0,AC14,AB14)</f>
        <v>54</v>
      </c>
      <c r="Y14" s="38"/>
      <c r="Z14" s="40">
        <v>5</v>
      </c>
      <c r="AA14" s="41"/>
      <c r="AB14" s="40">
        <v>54</v>
      </c>
      <c r="AC14" s="41"/>
      <c r="AE14" s="8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7"/>
      <c r="AR14" s="8"/>
      <c r="AS14" s="25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25"/>
      <c r="BU14" s="25"/>
      <c r="BV14" s="25"/>
      <c r="BW14" s="25"/>
      <c r="BX14" s="25"/>
      <c r="BY14" s="25"/>
      <c r="BZ14" s="25"/>
      <c r="CA14" s="25"/>
      <c r="CB14" s="25"/>
      <c r="CC14" s="25"/>
      <c r="CD14" s="25"/>
      <c r="CE14" s="25"/>
      <c r="CF14" s="25"/>
      <c r="CG14" s="25"/>
      <c r="CH14" s="25"/>
      <c r="CI14" s="25"/>
      <c r="CJ14" s="25"/>
      <c r="CK14" s="25"/>
      <c r="CL14" s="25"/>
      <c r="CM14" s="25"/>
      <c r="CN14" s="25"/>
      <c r="CO14" s="25"/>
      <c r="CP14" s="25"/>
      <c r="CQ14" s="25"/>
      <c r="CR14" s="25"/>
      <c r="CS14" s="25"/>
      <c r="CT14" s="25"/>
      <c r="CU14" s="25"/>
      <c r="CV14" s="25"/>
      <c r="CW14" s="25"/>
      <c r="CX14" s="25"/>
      <c r="CY14" s="25"/>
      <c r="CZ14" s="25"/>
      <c r="DA14" s="25"/>
      <c r="DB14" s="25"/>
      <c r="DC14" s="25"/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25"/>
      <c r="EP14" s="25"/>
      <c r="EQ14" s="25"/>
      <c r="ER14" s="25"/>
      <c r="ES14" s="25"/>
      <c r="ET14" s="25"/>
      <c r="EU14" s="25"/>
      <c r="EV14" s="25"/>
      <c r="EW14" s="25"/>
      <c r="EX14" s="25"/>
      <c r="EY14" s="25"/>
      <c r="EZ14" s="25"/>
      <c r="FA14" s="25"/>
      <c r="FB14" s="25"/>
      <c r="FC14" s="25"/>
      <c r="FD14" s="25"/>
      <c r="FE14" s="25"/>
      <c r="FF14" s="25"/>
      <c r="FG14" s="25"/>
      <c r="FH14" s="25"/>
      <c r="FI14" s="25"/>
      <c r="FJ14" s="25"/>
      <c r="FK14" s="25"/>
      <c r="FL14" s="25"/>
      <c r="FM14" s="25"/>
      <c r="FN14" s="25"/>
      <c r="FO14" s="25"/>
      <c r="FP14" s="25"/>
      <c r="FQ14" s="25"/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25"/>
      <c r="GO14" s="25"/>
      <c r="GP14" s="25"/>
      <c r="GQ14" s="25"/>
      <c r="GR14" s="25"/>
      <c r="GS14" s="25"/>
      <c r="GT14" s="25"/>
      <c r="GU14" s="25"/>
      <c r="GV14" s="25"/>
      <c r="GW14" s="25"/>
      <c r="GX14" s="25"/>
      <c r="GY14" s="25"/>
      <c r="GZ14" s="25"/>
      <c r="HA14" s="25"/>
      <c r="HB14" s="25"/>
      <c r="HC14" s="25"/>
      <c r="HD14" s="25"/>
      <c r="HE14" s="25"/>
      <c r="HF14" s="25"/>
      <c r="HG14" s="25"/>
      <c r="HH14" s="25"/>
      <c r="HI14" s="25"/>
      <c r="HJ14" s="25"/>
      <c r="HK14" s="25"/>
      <c r="HL14" s="25"/>
      <c r="HM14" s="25"/>
      <c r="HN14" s="25"/>
      <c r="HO14" s="25"/>
      <c r="HP14" s="25"/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25"/>
      <c r="JM14" s="25"/>
      <c r="JN14" s="25"/>
      <c r="JO14" s="25"/>
      <c r="JP14" s="25"/>
      <c r="JQ14" s="25"/>
      <c r="JR14" s="25"/>
      <c r="JS14" s="25"/>
      <c r="JT14" s="25"/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25"/>
      <c r="KP14" s="25"/>
      <c r="KQ14" s="25"/>
      <c r="KR14" s="25"/>
      <c r="KS14" s="25"/>
      <c r="KT14" s="25"/>
      <c r="KU14" s="25"/>
      <c r="KV14" s="25"/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25"/>
      <c r="LQ14" s="25"/>
      <c r="LR14" s="25"/>
      <c r="LS14" s="25"/>
      <c r="LT14" s="25"/>
      <c r="LU14" s="25"/>
      <c r="LV14" s="25"/>
      <c r="LW14" s="25"/>
      <c r="LX14" s="25"/>
      <c r="LY14" s="25"/>
      <c r="LZ14" s="25"/>
      <c r="MA14" s="25"/>
      <c r="MB14" s="25"/>
      <c r="MC14" s="25"/>
      <c r="MD14" s="25"/>
      <c r="ME14" s="25"/>
      <c r="MF14" s="25"/>
      <c r="MG14" s="27"/>
    </row>
    <row r="15" spans="1:345" x14ac:dyDescent="0.2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V15" s="8" t="s">
        <v>42</v>
      </c>
      <c r="W15" s="38">
        <f t="shared" si="5"/>
        <v>5</v>
      </c>
      <c r="X15" s="38">
        <f t="shared" si="6"/>
        <v>6</v>
      </c>
      <c r="Y15" s="38"/>
      <c r="Z15" s="40">
        <v>5</v>
      </c>
      <c r="AA15" s="41"/>
      <c r="AB15" s="40">
        <v>6</v>
      </c>
      <c r="AC15" s="41"/>
      <c r="AE15" s="8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7"/>
      <c r="AR15" s="8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25"/>
      <c r="BP15" s="25"/>
      <c r="BQ15" s="25"/>
      <c r="BR15" s="25"/>
      <c r="BS15" s="25"/>
      <c r="BT15" s="2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25"/>
      <c r="CJ15" s="25"/>
      <c r="CK15" s="25"/>
      <c r="CL15" s="25"/>
      <c r="CM15" s="25"/>
      <c r="CN15" s="25"/>
      <c r="CO15" s="25"/>
      <c r="CP15" s="25"/>
      <c r="CQ15" s="25"/>
      <c r="CR15" s="25"/>
      <c r="CS15" s="25"/>
      <c r="CT15" s="25"/>
      <c r="CU15" s="25"/>
      <c r="CV15" s="25"/>
      <c r="CW15" s="25"/>
      <c r="CX15" s="25"/>
      <c r="CY15" s="25"/>
      <c r="CZ15" s="25"/>
      <c r="DA15" s="25"/>
      <c r="DB15" s="25"/>
      <c r="DC15" s="25"/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  <c r="EA15" s="25"/>
      <c r="EB15" s="25"/>
      <c r="EC15" s="25"/>
      <c r="ED15" s="25"/>
      <c r="EE15" s="25"/>
      <c r="EF15" s="25"/>
      <c r="EG15" s="25"/>
      <c r="EH15" s="25"/>
      <c r="EI15" s="25"/>
      <c r="EJ15" s="25"/>
      <c r="EK15" s="25"/>
      <c r="EL15" s="25"/>
      <c r="EM15" s="25"/>
      <c r="EN15" s="25"/>
      <c r="EO15" s="25"/>
      <c r="EP15" s="25"/>
      <c r="EQ15" s="25"/>
      <c r="ER15" s="25"/>
      <c r="ES15" s="25"/>
      <c r="ET15" s="25"/>
      <c r="EU15" s="25"/>
      <c r="EV15" s="25"/>
      <c r="EW15" s="25"/>
      <c r="EX15" s="25"/>
      <c r="EY15" s="25"/>
      <c r="EZ15" s="25"/>
      <c r="FA15" s="25"/>
      <c r="FB15" s="25"/>
      <c r="FC15" s="25"/>
      <c r="FD15" s="25"/>
      <c r="FE15" s="25"/>
      <c r="FF15" s="25"/>
      <c r="FG15" s="25"/>
      <c r="FH15" s="25"/>
      <c r="FI15" s="25"/>
      <c r="FJ15" s="25"/>
      <c r="FK15" s="25"/>
      <c r="FL15" s="25"/>
      <c r="FM15" s="25"/>
      <c r="FN15" s="25"/>
      <c r="FO15" s="25"/>
      <c r="FP15" s="25"/>
      <c r="FQ15" s="25"/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25"/>
      <c r="GH15" s="25"/>
      <c r="GI15" s="25"/>
      <c r="GJ15" s="25"/>
      <c r="GK15" s="25"/>
      <c r="GL15" s="25"/>
      <c r="GM15" s="25"/>
      <c r="GN15" s="25"/>
      <c r="GO15" s="25"/>
      <c r="GP15" s="25"/>
      <c r="GQ15" s="25"/>
      <c r="GR15" s="25"/>
      <c r="GS15" s="25"/>
      <c r="GT15" s="25"/>
      <c r="GU15" s="25"/>
      <c r="GV15" s="25"/>
      <c r="GW15" s="25"/>
      <c r="GX15" s="25"/>
      <c r="GY15" s="25"/>
      <c r="GZ15" s="25"/>
      <c r="HA15" s="25"/>
      <c r="HB15" s="25"/>
      <c r="HC15" s="25"/>
      <c r="HD15" s="25"/>
      <c r="HE15" s="25"/>
      <c r="HF15" s="25"/>
      <c r="HG15" s="25"/>
      <c r="HH15" s="25"/>
      <c r="HI15" s="25"/>
      <c r="HJ15" s="25"/>
      <c r="HK15" s="25"/>
      <c r="HL15" s="25"/>
      <c r="HM15" s="25"/>
      <c r="HN15" s="25"/>
      <c r="HO15" s="25"/>
      <c r="HP15" s="25"/>
      <c r="HQ15" s="25"/>
      <c r="HR15" s="25"/>
      <c r="HS15" s="25"/>
      <c r="HT15" s="25"/>
      <c r="HU15" s="25"/>
      <c r="HV15" s="25"/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25"/>
      <c r="IK15" s="25"/>
      <c r="IL15" s="25"/>
      <c r="IM15" s="25"/>
      <c r="IN15" s="25"/>
      <c r="IO15" s="25"/>
      <c r="IP15" s="25"/>
      <c r="IQ15" s="25"/>
      <c r="IR15" s="25"/>
      <c r="IS15" s="25"/>
      <c r="IT15" s="25"/>
      <c r="IU15" s="25"/>
      <c r="IV15" s="25"/>
      <c r="IW15" s="25"/>
      <c r="IX15" s="25"/>
      <c r="IY15" s="25"/>
      <c r="IZ15" s="25"/>
      <c r="JA15" s="25"/>
      <c r="JB15" s="25"/>
      <c r="JC15" s="25"/>
      <c r="JD15" s="25"/>
      <c r="JE15" s="25"/>
      <c r="JF15" s="25"/>
      <c r="JG15" s="25"/>
      <c r="JH15" s="25"/>
      <c r="JI15" s="25"/>
      <c r="JJ15" s="25"/>
      <c r="JK15" s="25"/>
      <c r="JL15" s="25"/>
      <c r="JM15" s="25"/>
      <c r="JN15" s="25"/>
      <c r="JO15" s="25"/>
      <c r="JP15" s="25"/>
      <c r="JQ15" s="25"/>
      <c r="JR15" s="25"/>
      <c r="JS15" s="25"/>
      <c r="JT15" s="25"/>
      <c r="JU15" s="25"/>
      <c r="JV15" s="25"/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25"/>
      <c r="KO15" s="25"/>
      <c r="KP15" s="25"/>
      <c r="KQ15" s="25"/>
      <c r="KR15" s="25"/>
      <c r="KS15" s="25"/>
      <c r="KT15" s="25"/>
      <c r="KU15" s="25"/>
      <c r="KV15" s="25"/>
      <c r="KW15" s="25"/>
      <c r="KX15" s="25"/>
      <c r="KY15" s="25"/>
      <c r="KZ15" s="25"/>
      <c r="LA15" s="25"/>
      <c r="LB15" s="25"/>
      <c r="LC15" s="25"/>
      <c r="LD15" s="25"/>
      <c r="LE15" s="25"/>
      <c r="LF15" s="25"/>
      <c r="LG15" s="25"/>
      <c r="LH15" s="25"/>
      <c r="LI15" s="25"/>
      <c r="LJ15" s="25"/>
      <c r="LK15" s="25"/>
      <c r="LL15" s="25"/>
      <c r="LM15" s="25"/>
      <c r="LN15" s="25"/>
      <c r="LO15" s="25"/>
      <c r="LP15" s="25"/>
      <c r="LQ15" s="25"/>
      <c r="LR15" s="25"/>
      <c r="LS15" s="25"/>
      <c r="LT15" s="25"/>
      <c r="LU15" s="25"/>
      <c r="LV15" s="25"/>
      <c r="LW15" s="25"/>
      <c r="LX15" s="25"/>
      <c r="LY15" s="25"/>
      <c r="LZ15" s="25"/>
      <c r="MA15" s="25"/>
      <c r="MB15" s="25"/>
      <c r="MC15" s="25"/>
      <c r="MD15" s="25"/>
      <c r="ME15" s="25"/>
      <c r="MF15" s="25"/>
      <c r="MG15" s="27"/>
    </row>
    <row r="16" spans="1:345" x14ac:dyDescent="0.2">
      <c r="A16" s="32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V16" s="8" t="s">
        <v>43</v>
      </c>
      <c r="W16" s="38">
        <f t="shared" si="5"/>
        <v>54.99</v>
      </c>
      <c r="X16" s="38">
        <f t="shared" si="6"/>
        <v>54</v>
      </c>
      <c r="Y16" s="38"/>
      <c r="Z16" s="40">
        <v>54.99</v>
      </c>
      <c r="AA16" s="41"/>
      <c r="AB16" s="40">
        <v>54</v>
      </c>
      <c r="AC16" s="41"/>
      <c r="AE16" s="8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7"/>
      <c r="AR16" s="8"/>
      <c r="AS16" s="25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5"/>
      <c r="BN16" s="25"/>
      <c r="BO16" s="25"/>
      <c r="BP16" s="25"/>
      <c r="BQ16" s="25"/>
      <c r="BR16" s="25"/>
      <c r="BS16" s="25"/>
      <c r="BT16" s="25"/>
      <c r="BU16" s="25"/>
      <c r="BV16" s="25"/>
      <c r="BW16" s="25"/>
      <c r="BX16" s="25"/>
      <c r="BY16" s="25"/>
      <c r="BZ16" s="25"/>
      <c r="CA16" s="25"/>
      <c r="CB16" s="25"/>
      <c r="CC16" s="25"/>
      <c r="CD16" s="25"/>
      <c r="CE16" s="25"/>
      <c r="CF16" s="25"/>
      <c r="CG16" s="25"/>
      <c r="CH16" s="25"/>
      <c r="CI16" s="25"/>
      <c r="CJ16" s="25"/>
      <c r="CK16" s="25"/>
      <c r="CL16" s="25"/>
      <c r="CM16" s="25"/>
      <c r="CN16" s="25"/>
      <c r="CO16" s="25"/>
      <c r="CP16" s="25"/>
      <c r="CQ16" s="25"/>
      <c r="CR16" s="25"/>
      <c r="CS16" s="25"/>
      <c r="CT16" s="25"/>
      <c r="CU16" s="25"/>
      <c r="CV16" s="25"/>
      <c r="CW16" s="25"/>
      <c r="CX16" s="25"/>
      <c r="CY16" s="25"/>
      <c r="CZ16" s="25"/>
      <c r="DA16" s="25"/>
      <c r="DB16" s="25"/>
      <c r="DC16" s="25"/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25"/>
      <c r="DY16" s="25"/>
      <c r="DZ16" s="25"/>
      <c r="EA16" s="25"/>
      <c r="EB16" s="25"/>
      <c r="EC16" s="25"/>
      <c r="ED16" s="25"/>
      <c r="EE16" s="25"/>
      <c r="EF16" s="25"/>
      <c r="EG16" s="25"/>
      <c r="EH16" s="25"/>
      <c r="EI16" s="25"/>
      <c r="EJ16" s="25"/>
      <c r="EK16" s="25"/>
      <c r="EL16" s="25"/>
      <c r="EM16" s="25"/>
      <c r="EN16" s="25"/>
      <c r="EO16" s="25"/>
      <c r="EP16" s="25"/>
      <c r="EQ16" s="25"/>
      <c r="ER16" s="25"/>
      <c r="ES16" s="25"/>
      <c r="ET16" s="25"/>
      <c r="EU16" s="25"/>
      <c r="EV16" s="25"/>
      <c r="EW16" s="25"/>
      <c r="EX16" s="25"/>
      <c r="EY16" s="25"/>
      <c r="EZ16" s="25"/>
      <c r="FA16" s="25"/>
      <c r="FB16" s="25"/>
      <c r="FC16" s="25"/>
      <c r="FD16" s="25"/>
      <c r="FE16" s="25"/>
      <c r="FF16" s="25"/>
      <c r="FG16" s="25"/>
      <c r="FH16" s="25"/>
      <c r="FI16" s="25"/>
      <c r="FJ16" s="25"/>
      <c r="FK16" s="25"/>
      <c r="FL16" s="25"/>
      <c r="FM16" s="25"/>
      <c r="FN16" s="25"/>
      <c r="FO16" s="25"/>
      <c r="FP16" s="25"/>
      <c r="FQ16" s="25"/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25"/>
      <c r="GH16" s="25"/>
      <c r="GI16" s="25"/>
      <c r="GJ16" s="25"/>
      <c r="GK16" s="25"/>
      <c r="GL16" s="25"/>
      <c r="GM16" s="25"/>
      <c r="GN16" s="25"/>
      <c r="GO16" s="25"/>
      <c r="GP16" s="25"/>
      <c r="GQ16" s="25"/>
      <c r="GR16" s="25"/>
      <c r="GS16" s="25"/>
      <c r="GT16" s="25"/>
      <c r="GU16" s="25"/>
      <c r="GV16" s="25"/>
      <c r="GW16" s="25"/>
      <c r="GX16" s="25"/>
      <c r="GY16" s="25"/>
      <c r="GZ16" s="25"/>
      <c r="HA16" s="25"/>
      <c r="HB16" s="25"/>
      <c r="HC16" s="25"/>
      <c r="HD16" s="25"/>
      <c r="HE16" s="25"/>
      <c r="HF16" s="25"/>
      <c r="HG16" s="25"/>
      <c r="HH16" s="25"/>
      <c r="HI16" s="25"/>
      <c r="HJ16" s="25"/>
      <c r="HK16" s="25"/>
      <c r="HL16" s="25"/>
      <c r="HM16" s="25"/>
      <c r="HN16" s="25"/>
      <c r="HO16" s="25"/>
      <c r="HP16" s="25"/>
      <c r="HQ16" s="25"/>
      <c r="HR16" s="25"/>
      <c r="HS16" s="25"/>
      <c r="HT16" s="25"/>
      <c r="HU16" s="25"/>
      <c r="HV16" s="25"/>
      <c r="HW16" s="25"/>
      <c r="HX16" s="25"/>
      <c r="HY16" s="25"/>
      <c r="HZ16" s="25"/>
      <c r="IA16" s="25"/>
      <c r="IB16" s="25"/>
      <c r="IC16" s="25"/>
      <c r="ID16" s="25"/>
      <c r="IE16" s="25"/>
      <c r="IF16" s="25"/>
      <c r="IG16" s="25"/>
      <c r="IH16" s="25"/>
      <c r="II16" s="25"/>
      <c r="IJ16" s="25"/>
      <c r="IK16" s="25"/>
      <c r="IL16" s="25"/>
      <c r="IM16" s="25"/>
      <c r="IN16" s="25"/>
      <c r="IO16" s="25"/>
      <c r="IP16" s="25"/>
      <c r="IQ16" s="25"/>
      <c r="IR16" s="25"/>
      <c r="IS16" s="25"/>
      <c r="IT16" s="25"/>
      <c r="IU16" s="25"/>
      <c r="IV16" s="25"/>
      <c r="IW16" s="25"/>
      <c r="IX16" s="25"/>
      <c r="IY16" s="25"/>
      <c r="IZ16" s="25"/>
      <c r="JA16" s="25"/>
      <c r="JB16" s="25"/>
      <c r="JC16" s="25"/>
      <c r="JD16" s="25"/>
      <c r="JE16" s="25"/>
      <c r="JF16" s="25"/>
      <c r="JG16" s="25"/>
      <c r="JH16" s="25"/>
      <c r="JI16" s="25"/>
      <c r="JJ16" s="25"/>
      <c r="JK16" s="25"/>
      <c r="JL16" s="25"/>
      <c r="JM16" s="25"/>
      <c r="JN16" s="25"/>
      <c r="JO16" s="25"/>
      <c r="JP16" s="25"/>
      <c r="JQ16" s="25"/>
      <c r="JR16" s="25"/>
      <c r="JS16" s="25"/>
      <c r="JT16" s="25"/>
      <c r="JU16" s="25"/>
      <c r="JV16" s="25"/>
      <c r="JW16" s="25"/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25"/>
      <c r="KN16" s="25"/>
      <c r="KO16" s="25"/>
      <c r="KP16" s="25"/>
      <c r="KQ16" s="25"/>
      <c r="KR16" s="25"/>
      <c r="KS16" s="25"/>
      <c r="KT16" s="25"/>
      <c r="KU16" s="25"/>
      <c r="KV16" s="25"/>
      <c r="KW16" s="25"/>
      <c r="KX16" s="25"/>
      <c r="KY16" s="25"/>
      <c r="KZ16" s="25"/>
      <c r="LA16" s="25"/>
      <c r="LB16" s="25"/>
      <c r="LC16" s="25"/>
      <c r="LD16" s="25"/>
      <c r="LE16" s="25"/>
      <c r="LF16" s="25"/>
      <c r="LG16" s="25"/>
      <c r="LH16" s="25"/>
      <c r="LI16" s="25"/>
      <c r="LJ16" s="25"/>
      <c r="LK16" s="25"/>
      <c r="LL16" s="25"/>
      <c r="LM16" s="25"/>
      <c r="LN16" s="25"/>
      <c r="LO16" s="25"/>
      <c r="LP16" s="25"/>
      <c r="LQ16" s="25"/>
      <c r="LR16" s="25"/>
      <c r="LS16" s="25"/>
      <c r="LT16" s="25"/>
      <c r="LU16" s="25"/>
      <c r="LV16" s="25"/>
      <c r="LW16" s="25"/>
      <c r="LX16" s="25"/>
      <c r="LY16" s="25"/>
      <c r="LZ16" s="25"/>
      <c r="MA16" s="25"/>
      <c r="MB16" s="25"/>
      <c r="MC16" s="25"/>
      <c r="MD16" s="25"/>
      <c r="ME16" s="25"/>
      <c r="MF16" s="25"/>
      <c r="MG16" s="27"/>
    </row>
    <row r="17" spans="1:345" x14ac:dyDescent="0.2">
      <c r="A17" s="32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V17" s="14" t="s">
        <v>44</v>
      </c>
      <c r="W17" s="42">
        <f t="shared" si="5"/>
        <v>54.99</v>
      </c>
      <c r="X17" s="42">
        <f t="shared" si="6"/>
        <v>6</v>
      </c>
      <c r="Y17" s="42"/>
      <c r="Z17" s="43">
        <v>54.99</v>
      </c>
      <c r="AA17" s="44"/>
      <c r="AB17" s="43">
        <v>6</v>
      </c>
      <c r="AC17" s="44"/>
      <c r="AE17" s="14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28"/>
      <c r="AR17" s="14"/>
      <c r="AS17" s="30"/>
      <c r="AT17" s="30"/>
      <c r="AU17" s="30"/>
      <c r="AV17" s="30"/>
      <c r="AW17" s="30"/>
      <c r="AX17" s="30"/>
      <c r="AY17" s="30"/>
      <c r="AZ17" s="30"/>
      <c r="BA17" s="30"/>
      <c r="BB17" s="30"/>
      <c r="BC17" s="30"/>
      <c r="BD17" s="30"/>
      <c r="BE17" s="30"/>
      <c r="BF17" s="30"/>
      <c r="BG17" s="30"/>
      <c r="BH17" s="30"/>
      <c r="BI17" s="30"/>
      <c r="BJ17" s="30"/>
      <c r="BK17" s="30"/>
      <c r="BL17" s="30"/>
      <c r="BM17" s="30"/>
      <c r="BN17" s="30"/>
      <c r="BO17" s="30"/>
      <c r="BP17" s="30"/>
      <c r="BQ17" s="30"/>
      <c r="BR17" s="30"/>
      <c r="BS17" s="30"/>
      <c r="BT17" s="30"/>
      <c r="BU17" s="30"/>
      <c r="BV17" s="30"/>
      <c r="BW17" s="30"/>
      <c r="BX17" s="30"/>
      <c r="BY17" s="30"/>
      <c r="BZ17" s="30"/>
      <c r="CA17" s="30"/>
      <c r="CB17" s="30"/>
      <c r="CC17" s="30"/>
      <c r="CD17" s="30"/>
      <c r="CE17" s="30"/>
      <c r="CF17" s="30"/>
      <c r="CG17" s="30"/>
      <c r="CH17" s="30"/>
      <c r="CI17" s="30"/>
      <c r="CJ17" s="30"/>
      <c r="CK17" s="30"/>
      <c r="CL17" s="30"/>
      <c r="CM17" s="30"/>
      <c r="CN17" s="30"/>
      <c r="CO17" s="30"/>
      <c r="CP17" s="30"/>
      <c r="CQ17" s="30"/>
      <c r="CR17" s="30"/>
      <c r="CS17" s="30"/>
      <c r="CT17" s="30"/>
      <c r="CU17" s="30"/>
      <c r="CV17" s="30"/>
      <c r="CW17" s="30"/>
      <c r="CX17" s="30"/>
      <c r="CY17" s="30"/>
      <c r="CZ17" s="30"/>
      <c r="DA17" s="30"/>
      <c r="DB17" s="30"/>
      <c r="DC17" s="30"/>
      <c r="DD17" s="30"/>
      <c r="DE17" s="30"/>
      <c r="DF17" s="30"/>
      <c r="DG17" s="30"/>
      <c r="DH17" s="30"/>
      <c r="DI17" s="30"/>
      <c r="DJ17" s="30"/>
      <c r="DK17" s="30"/>
      <c r="DL17" s="30"/>
      <c r="DM17" s="30"/>
      <c r="DN17" s="30"/>
      <c r="DO17" s="30"/>
      <c r="DP17" s="30"/>
      <c r="DQ17" s="30"/>
      <c r="DR17" s="30"/>
      <c r="DS17" s="30"/>
      <c r="DT17" s="30"/>
      <c r="DU17" s="30"/>
      <c r="DV17" s="30"/>
      <c r="DW17" s="30"/>
      <c r="DX17" s="30"/>
      <c r="DY17" s="30"/>
      <c r="DZ17" s="30"/>
      <c r="EA17" s="30"/>
      <c r="EB17" s="30"/>
      <c r="EC17" s="30"/>
      <c r="ED17" s="30"/>
      <c r="EE17" s="30"/>
      <c r="EF17" s="30"/>
      <c r="EG17" s="30"/>
      <c r="EH17" s="30"/>
      <c r="EI17" s="30"/>
      <c r="EJ17" s="30"/>
      <c r="EK17" s="30"/>
      <c r="EL17" s="30"/>
      <c r="EM17" s="30"/>
      <c r="EN17" s="30"/>
      <c r="EO17" s="30"/>
      <c r="EP17" s="30"/>
      <c r="EQ17" s="30"/>
      <c r="ER17" s="30"/>
      <c r="ES17" s="30"/>
      <c r="ET17" s="30"/>
      <c r="EU17" s="30"/>
      <c r="EV17" s="30"/>
      <c r="EW17" s="30"/>
      <c r="EX17" s="30"/>
      <c r="EY17" s="30"/>
      <c r="EZ17" s="30"/>
      <c r="FA17" s="30"/>
      <c r="FB17" s="30"/>
      <c r="FC17" s="30"/>
      <c r="FD17" s="30"/>
      <c r="FE17" s="30"/>
      <c r="FF17" s="30"/>
      <c r="FG17" s="30"/>
      <c r="FH17" s="30"/>
      <c r="FI17" s="30"/>
      <c r="FJ17" s="30"/>
      <c r="FK17" s="30"/>
      <c r="FL17" s="30"/>
      <c r="FM17" s="30"/>
      <c r="FN17" s="30"/>
      <c r="FO17" s="30"/>
      <c r="FP17" s="30"/>
      <c r="FQ17" s="30"/>
      <c r="FR17" s="30"/>
      <c r="FS17" s="30"/>
      <c r="FT17" s="30"/>
      <c r="FU17" s="30"/>
      <c r="FV17" s="30"/>
      <c r="FW17" s="30"/>
      <c r="FX17" s="30"/>
      <c r="FY17" s="30"/>
      <c r="FZ17" s="30"/>
      <c r="GA17" s="30"/>
      <c r="GB17" s="30"/>
      <c r="GC17" s="30"/>
      <c r="GD17" s="30"/>
      <c r="GE17" s="30"/>
      <c r="GF17" s="30"/>
      <c r="GG17" s="30"/>
      <c r="GH17" s="30"/>
      <c r="GI17" s="30"/>
      <c r="GJ17" s="30"/>
      <c r="GK17" s="30"/>
      <c r="GL17" s="30"/>
      <c r="GM17" s="30"/>
      <c r="GN17" s="30"/>
      <c r="GO17" s="30"/>
      <c r="GP17" s="30"/>
      <c r="GQ17" s="30"/>
      <c r="GR17" s="30"/>
      <c r="GS17" s="30"/>
      <c r="GT17" s="30"/>
      <c r="GU17" s="30"/>
      <c r="GV17" s="30"/>
      <c r="GW17" s="30"/>
      <c r="GX17" s="30"/>
      <c r="GY17" s="30"/>
      <c r="GZ17" s="30"/>
      <c r="HA17" s="30"/>
      <c r="HB17" s="30"/>
      <c r="HC17" s="30"/>
      <c r="HD17" s="30"/>
      <c r="HE17" s="30"/>
      <c r="HF17" s="30"/>
      <c r="HG17" s="30"/>
      <c r="HH17" s="30"/>
      <c r="HI17" s="30"/>
      <c r="HJ17" s="30"/>
      <c r="HK17" s="30"/>
      <c r="HL17" s="30"/>
      <c r="HM17" s="30"/>
      <c r="HN17" s="30"/>
      <c r="HO17" s="30"/>
      <c r="HP17" s="30"/>
      <c r="HQ17" s="30"/>
      <c r="HR17" s="30"/>
      <c r="HS17" s="30"/>
      <c r="HT17" s="30"/>
      <c r="HU17" s="30"/>
      <c r="HV17" s="30"/>
      <c r="HW17" s="30"/>
      <c r="HX17" s="30"/>
      <c r="HY17" s="30"/>
      <c r="HZ17" s="30"/>
      <c r="IA17" s="30"/>
      <c r="IB17" s="30"/>
      <c r="IC17" s="30"/>
      <c r="ID17" s="30"/>
      <c r="IE17" s="30"/>
      <c r="IF17" s="30"/>
      <c r="IG17" s="30"/>
      <c r="IH17" s="30"/>
      <c r="II17" s="30"/>
      <c r="IJ17" s="30"/>
      <c r="IK17" s="30"/>
      <c r="IL17" s="30"/>
      <c r="IM17" s="30"/>
      <c r="IN17" s="30"/>
      <c r="IO17" s="30"/>
      <c r="IP17" s="30"/>
      <c r="IQ17" s="30"/>
      <c r="IR17" s="30"/>
      <c r="IS17" s="30"/>
      <c r="IT17" s="30"/>
      <c r="IU17" s="30"/>
      <c r="IV17" s="30"/>
      <c r="IW17" s="30"/>
      <c r="IX17" s="30"/>
      <c r="IY17" s="30"/>
      <c r="IZ17" s="30"/>
      <c r="JA17" s="30"/>
      <c r="JB17" s="30"/>
      <c r="JC17" s="30"/>
      <c r="JD17" s="30"/>
      <c r="JE17" s="30"/>
      <c r="JF17" s="30"/>
      <c r="JG17" s="30"/>
      <c r="JH17" s="30"/>
      <c r="JI17" s="30"/>
      <c r="JJ17" s="30"/>
      <c r="JK17" s="30"/>
      <c r="JL17" s="30"/>
      <c r="JM17" s="30"/>
      <c r="JN17" s="30"/>
      <c r="JO17" s="30"/>
      <c r="JP17" s="30"/>
      <c r="JQ17" s="30"/>
      <c r="JR17" s="30"/>
      <c r="JS17" s="30"/>
      <c r="JT17" s="30"/>
      <c r="JU17" s="30"/>
      <c r="JV17" s="30"/>
      <c r="JW17" s="30"/>
      <c r="JX17" s="30"/>
      <c r="JY17" s="30"/>
      <c r="JZ17" s="30"/>
      <c r="KA17" s="30"/>
      <c r="KB17" s="30"/>
      <c r="KC17" s="30"/>
      <c r="KD17" s="30"/>
      <c r="KE17" s="30"/>
      <c r="KF17" s="30"/>
      <c r="KG17" s="30"/>
      <c r="KH17" s="30"/>
      <c r="KI17" s="30"/>
      <c r="KJ17" s="30"/>
      <c r="KK17" s="30"/>
      <c r="KL17" s="30"/>
      <c r="KM17" s="30"/>
      <c r="KN17" s="30"/>
      <c r="KO17" s="30"/>
      <c r="KP17" s="30"/>
      <c r="KQ17" s="30"/>
      <c r="KR17" s="30"/>
      <c r="KS17" s="30"/>
      <c r="KT17" s="30"/>
      <c r="KU17" s="30"/>
      <c r="KV17" s="30"/>
      <c r="KW17" s="30"/>
      <c r="KX17" s="30"/>
      <c r="KY17" s="30"/>
      <c r="KZ17" s="30"/>
      <c r="LA17" s="30"/>
      <c r="LB17" s="30"/>
      <c r="LC17" s="30"/>
      <c r="LD17" s="30"/>
      <c r="LE17" s="30"/>
      <c r="LF17" s="30"/>
      <c r="LG17" s="30"/>
      <c r="LH17" s="30"/>
      <c r="LI17" s="30"/>
      <c r="LJ17" s="30"/>
      <c r="LK17" s="30"/>
      <c r="LL17" s="30"/>
      <c r="LM17" s="30"/>
      <c r="LN17" s="30"/>
      <c r="LO17" s="30"/>
      <c r="LP17" s="30"/>
      <c r="LQ17" s="30"/>
      <c r="LR17" s="30"/>
      <c r="LS17" s="30"/>
      <c r="LT17" s="30"/>
      <c r="LU17" s="30"/>
      <c r="LV17" s="30"/>
      <c r="LW17" s="30"/>
      <c r="LX17" s="30"/>
      <c r="LY17" s="30"/>
      <c r="LZ17" s="30"/>
      <c r="MA17" s="30"/>
      <c r="MB17" s="30"/>
      <c r="MC17" s="30"/>
      <c r="MD17" s="30"/>
      <c r="ME17" s="30"/>
      <c r="MF17" s="30"/>
      <c r="MG17" s="28"/>
    </row>
    <row r="18" spans="1:345" x14ac:dyDescent="0.2">
      <c r="A18" s="32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V18" s="8" t="s">
        <v>45</v>
      </c>
      <c r="W18" s="38">
        <f t="shared" si="5"/>
        <v>19</v>
      </c>
      <c r="X18" s="38">
        <f t="shared" si="6"/>
        <v>45</v>
      </c>
      <c r="Y18" s="38"/>
      <c r="Z18" s="40">
        <v>17.666699999999999</v>
      </c>
      <c r="AA18" s="51">
        <v>19</v>
      </c>
      <c r="AB18" s="40">
        <v>45</v>
      </c>
      <c r="AC18" s="51"/>
      <c r="AE18" s="8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7"/>
      <c r="AR18" s="8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25"/>
      <c r="BN18" s="25"/>
      <c r="BO18" s="25"/>
      <c r="BP18" s="25"/>
      <c r="BQ18" s="25"/>
      <c r="BR18" s="25"/>
      <c r="BS18" s="25"/>
      <c r="BT18" s="25"/>
      <c r="BU18" s="25"/>
      <c r="BV18" s="25"/>
      <c r="BW18" s="25"/>
      <c r="BX18" s="25"/>
      <c r="BY18" s="25"/>
      <c r="BZ18" s="25"/>
      <c r="CA18" s="25"/>
      <c r="CB18" s="25"/>
      <c r="CC18" s="25"/>
      <c r="CD18" s="25"/>
      <c r="CE18" s="25"/>
      <c r="CF18" s="25"/>
      <c r="CG18" s="25"/>
      <c r="CH18" s="25"/>
      <c r="CI18" s="25"/>
      <c r="CJ18" s="25"/>
      <c r="CK18" s="25"/>
      <c r="CL18" s="25"/>
      <c r="CM18" s="25"/>
      <c r="CN18" s="25"/>
      <c r="CO18" s="25"/>
      <c r="CP18" s="25"/>
      <c r="CQ18" s="25"/>
      <c r="CR18" s="25"/>
      <c r="CS18" s="25"/>
      <c r="CT18" s="25"/>
      <c r="CU18" s="25"/>
      <c r="CV18" s="25"/>
      <c r="CW18" s="25"/>
      <c r="CX18" s="25"/>
      <c r="CY18" s="25"/>
      <c r="CZ18" s="25"/>
      <c r="DA18" s="25"/>
      <c r="DB18" s="25"/>
      <c r="DC18" s="25"/>
      <c r="DD18" s="25"/>
      <c r="DE18" s="25"/>
      <c r="DF18" s="25"/>
      <c r="DG18" s="25"/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25"/>
      <c r="DY18" s="25"/>
      <c r="DZ18" s="25"/>
      <c r="EA18" s="25"/>
      <c r="EB18" s="25"/>
      <c r="EC18" s="25"/>
      <c r="ED18" s="25"/>
      <c r="EE18" s="25"/>
      <c r="EF18" s="25"/>
      <c r="EG18" s="25"/>
      <c r="EH18" s="25"/>
      <c r="EI18" s="25"/>
      <c r="EJ18" s="25"/>
      <c r="EK18" s="25"/>
      <c r="EL18" s="25"/>
      <c r="EM18" s="25"/>
      <c r="EN18" s="25"/>
      <c r="EO18" s="25"/>
      <c r="EP18" s="25"/>
      <c r="EQ18" s="25"/>
      <c r="ER18" s="25"/>
      <c r="ES18" s="25"/>
      <c r="ET18" s="25"/>
      <c r="EU18" s="25"/>
      <c r="EV18" s="25"/>
      <c r="EW18" s="25"/>
      <c r="EX18" s="25"/>
      <c r="EY18" s="25"/>
      <c r="EZ18" s="25"/>
      <c r="FA18" s="25"/>
      <c r="FB18" s="25"/>
      <c r="FC18" s="25"/>
      <c r="FD18" s="25"/>
      <c r="FE18" s="25"/>
      <c r="FF18" s="25"/>
      <c r="FG18" s="25"/>
      <c r="FH18" s="25"/>
      <c r="FI18" s="25"/>
      <c r="FJ18" s="25"/>
      <c r="FK18" s="25"/>
      <c r="FL18" s="25"/>
      <c r="FM18" s="25"/>
      <c r="FN18" s="25"/>
      <c r="FO18" s="25"/>
      <c r="FP18" s="25"/>
      <c r="FQ18" s="25"/>
      <c r="FR18" s="25"/>
      <c r="FS18" s="25"/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25"/>
      <c r="GH18" s="25"/>
      <c r="GI18" s="25"/>
      <c r="GJ18" s="25"/>
      <c r="GK18" s="25"/>
      <c r="GL18" s="25"/>
      <c r="GM18" s="25"/>
      <c r="GN18" s="25"/>
      <c r="GO18" s="25"/>
      <c r="GP18" s="25"/>
      <c r="GQ18" s="25"/>
      <c r="GR18" s="25"/>
      <c r="GS18" s="25"/>
      <c r="GT18" s="25"/>
      <c r="GU18" s="25"/>
      <c r="GV18" s="25"/>
      <c r="GW18" s="25"/>
      <c r="GX18" s="25"/>
      <c r="GY18" s="25"/>
      <c r="GZ18" s="25"/>
      <c r="HA18" s="25"/>
      <c r="HB18" s="25"/>
      <c r="HC18" s="25"/>
      <c r="HD18" s="25"/>
      <c r="HE18" s="25"/>
      <c r="HF18" s="25"/>
      <c r="HG18" s="25"/>
      <c r="HH18" s="25"/>
      <c r="HI18" s="25"/>
      <c r="HJ18" s="25"/>
      <c r="HK18" s="25"/>
      <c r="HL18" s="25"/>
      <c r="HM18" s="25"/>
      <c r="HN18" s="25"/>
      <c r="HO18" s="25"/>
      <c r="HP18" s="25"/>
      <c r="HQ18" s="25"/>
      <c r="HR18" s="25"/>
      <c r="HS18" s="25"/>
      <c r="HT18" s="25"/>
      <c r="HU18" s="25"/>
      <c r="HV18" s="25"/>
      <c r="HW18" s="25"/>
      <c r="HX18" s="25"/>
      <c r="HY18" s="25"/>
      <c r="HZ18" s="25"/>
      <c r="IA18" s="25"/>
      <c r="IB18" s="25"/>
      <c r="IC18" s="25"/>
      <c r="ID18" s="25"/>
      <c r="IE18" s="25"/>
      <c r="IF18" s="25"/>
      <c r="IG18" s="25"/>
      <c r="IH18" s="25"/>
      <c r="II18" s="25"/>
      <c r="IJ18" s="25"/>
      <c r="IK18" s="25"/>
      <c r="IL18" s="25"/>
      <c r="IM18" s="25"/>
      <c r="IN18" s="25"/>
      <c r="IO18" s="25"/>
      <c r="IP18" s="25"/>
      <c r="IQ18" s="25"/>
      <c r="IR18" s="25"/>
      <c r="IS18" s="25"/>
      <c r="IT18" s="25"/>
      <c r="IU18" s="25"/>
      <c r="IV18" s="25"/>
      <c r="IW18" s="25"/>
      <c r="IX18" s="25"/>
      <c r="IY18" s="25"/>
      <c r="IZ18" s="25"/>
      <c r="JA18" s="25"/>
      <c r="JB18" s="25"/>
      <c r="JC18" s="25"/>
      <c r="JD18" s="25"/>
      <c r="JE18" s="25"/>
      <c r="JF18" s="25"/>
      <c r="JG18" s="25"/>
      <c r="JH18" s="25"/>
      <c r="JI18" s="25"/>
      <c r="JJ18" s="25"/>
      <c r="JK18" s="25"/>
      <c r="JL18" s="25"/>
      <c r="JM18" s="25"/>
      <c r="JN18" s="25"/>
      <c r="JO18" s="25"/>
      <c r="JP18" s="25"/>
      <c r="JQ18" s="25"/>
      <c r="JR18" s="25"/>
      <c r="JS18" s="25"/>
      <c r="JT18" s="25"/>
      <c r="JU18" s="25"/>
      <c r="JV18" s="25"/>
      <c r="JW18" s="25"/>
      <c r="JX18" s="25"/>
      <c r="JY18" s="25"/>
      <c r="JZ18" s="25"/>
      <c r="KA18" s="25"/>
      <c r="KB18" s="25"/>
      <c r="KC18" s="25"/>
      <c r="KD18" s="25"/>
      <c r="KE18" s="25"/>
      <c r="KF18" s="25"/>
      <c r="KG18" s="25"/>
      <c r="KH18" s="25"/>
      <c r="KI18" s="25"/>
      <c r="KJ18" s="25"/>
      <c r="KK18" s="25"/>
      <c r="KL18" s="25"/>
      <c r="KM18" s="25"/>
      <c r="KN18" s="25"/>
      <c r="KO18" s="25"/>
      <c r="KP18" s="25"/>
      <c r="KQ18" s="25"/>
      <c r="KR18" s="25"/>
      <c r="KS18" s="25"/>
      <c r="KT18" s="25"/>
      <c r="KU18" s="25"/>
      <c r="KV18" s="25"/>
      <c r="KW18" s="25"/>
      <c r="KX18" s="25"/>
      <c r="KY18" s="25"/>
      <c r="KZ18" s="25"/>
      <c r="LA18" s="25"/>
      <c r="LB18" s="25"/>
      <c r="LC18" s="25"/>
      <c r="LD18" s="25"/>
      <c r="LE18" s="25"/>
      <c r="LF18" s="25"/>
      <c r="LG18" s="25"/>
      <c r="LH18" s="25"/>
      <c r="LI18" s="25"/>
      <c r="LJ18" s="25"/>
      <c r="LK18" s="25"/>
      <c r="LL18" s="25"/>
      <c r="LM18" s="25"/>
      <c r="LN18" s="25"/>
      <c r="LO18" s="25"/>
      <c r="LP18" s="25"/>
      <c r="LQ18" s="25"/>
      <c r="LR18" s="25"/>
      <c r="LS18" s="25"/>
      <c r="LT18" s="25"/>
      <c r="LU18" s="25"/>
      <c r="LV18" s="25"/>
      <c r="LW18" s="25"/>
      <c r="LX18" s="25"/>
      <c r="LY18" s="25"/>
      <c r="LZ18" s="25"/>
      <c r="MA18" s="25"/>
      <c r="MB18" s="25"/>
      <c r="MC18" s="25"/>
      <c r="MD18" s="25"/>
      <c r="ME18" s="25"/>
      <c r="MF18" s="25"/>
      <c r="MG18" s="27"/>
    </row>
    <row r="19" spans="1:345" x14ac:dyDescent="0.2">
      <c r="A19" s="32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V19" s="8" t="s">
        <v>46</v>
      </c>
      <c r="W19" s="38">
        <f t="shared" si="5"/>
        <v>30</v>
      </c>
      <c r="X19" s="38">
        <f t="shared" si="6"/>
        <v>48.75</v>
      </c>
      <c r="Y19" s="38"/>
      <c r="Z19" s="40">
        <v>30</v>
      </c>
      <c r="AA19" s="51"/>
      <c r="AB19" s="40">
        <v>48.75</v>
      </c>
      <c r="AC19" s="51"/>
      <c r="AE19" s="8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7"/>
      <c r="AR19" s="8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K19" s="25"/>
      <c r="BL19" s="25"/>
      <c r="BM19" s="25"/>
      <c r="BN19" s="25"/>
      <c r="BO19" s="25"/>
      <c r="BP19" s="25"/>
      <c r="BQ19" s="25"/>
      <c r="BR19" s="25"/>
      <c r="BS19" s="25"/>
      <c r="BT19" s="25"/>
      <c r="BU19" s="25"/>
      <c r="BV19" s="25"/>
      <c r="BW19" s="25"/>
      <c r="BX19" s="25"/>
      <c r="BY19" s="25"/>
      <c r="BZ19" s="25"/>
      <c r="CA19" s="25"/>
      <c r="CB19" s="25"/>
      <c r="CC19" s="25"/>
      <c r="CD19" s="25"/>
      <c r="CE19" s="25"/>
      <c r="CF19" s="25"/>
      <c r="CG19" s="25"/>
      <c r="CH19" s="25"/>
      <c r="CI19" s="25"/>
      <c r="CJ19" s="25"/>
      <c r="CK19" s="25"/>
      <c r="CL19" s="25"/>
      <c r="CM19" s="25"/>
      <c r="CN19" s="25"/>
      <c r="CO19" s="25"/>
      <c r="CP19" s="25"/>
      <c r="CQ19" s="25"/>
      <c r="CR19" s="25"/>
      <c r="CS19" s="25"/>
      <c r="CT19" s="25"/>
      <c r="CU19" s="25"/>
      <c r="CV19" s="25"/>
      <c r="CW19" s="25"/>
      <c r="CX19" s="25"/>
      <c r="CY19" s="25"/>
      <c r="CZ19" s="25"/>
      <c r="DA19" s="25"/>
      <c r="DB19" s="25"/>
      <c r="DC19" s="25"/>
      <c r="DD19" s="25"/>
      <c r="DE19" s="25"/>
      <c r="DF19" s="25"/>
      <c r="DG19" s="25"/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5"/>
      <c r="DU19" s="25"/>
      <c r="DV19" s="25"/>
      <c r="DW19" s="25"/>
      <c r="DX19" s="25"/>
      <c r="DY19" s="25"/>
      <c r="DZ19" s="25"/>
      <c r="EA19" s="25"/>
      <c r="EB19" s="25"/>
      <c r="EC19" s="25"/>
      <c r="ED19" s="25"/>
      <c r="EE19" s="25"/>
      <c r="EF19" s="25"/>
      <c r="EG19" s="25"/>
      <c r="EH19" s="25"/>
      <c r="EI19" s="25"/>
      <c r="EJ19" s="25"/>
      <c r="EK19" s="25"/>
      <c r="EL19" s="25"/>
      <c r="EM19" s="25"/>
      <c r="EN19" s="25"/>
      <c r="EO19" s="25"/>
      <c r="EP19" s="25"/>
      <c r="EQ19" s="25"/>
      <c r="ER19" s="25"/>
      <c r="ES19" s="25"/>
      <c r="ET19" s="25"/>
      <c r="EU19" s="25"/>
      <c r="EV19" s="25"/>
      <c r="EW19" s="25"/>
      <c r="EX19" s="25"/>
      <c r="EY19" s="25"/>
      <c r="EZ19" s="25"/>
      <c r="FA19" s="25"/>
      <c r="FB19" s="25"/>
      <c r="FC19" s="25"/>
      <c r="FD19" s="25"/>
      <c r="FE19" s="25"/>
      <c r="FF19" s="25"/>
      <c r="FG19" s="25"/>
      <c r="FH19" s="25"/>
      <c r="FI19" s="25"/>
      <c r="FJ19" s="25"/>
      <c r="FK19" s="25"/>
      <c r="FL19" s="25"/>
      <c r="FM19" s="25"/>
      <c r="FN19" s="25"/>
      <c r="FO19" s="25"/>
      <c r="FP19" s="25"/>
      <c r="FQ19" s="25"/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25"/>
      <c r="GH19" s="25"/>
      <c r="GI19" s="25"/>
      <c r="GJ19" s="25"/>
      <c r="GK19" s="25"/>
      <c r="GL19" s="25"/>
      <c r="GM19" s="25"/>
      <c r="GN19" s="25"/>
      <c r="GO19" s="25"/>
      <c r="GP19" s="25"/>
      <c r="GQ19" s="25"/>
      <c r="GR19" s="25"/>
      <c r="GS19" s="25"/>
      <c r="GT19" s="25"/>
      <c r="GU19" s="25"/>
      <c r="GV19" s="25"/>
      <c r="GW19" s="25"/>
      <c r="GX19" s="25"/>
      <c r="GY19" s="25"/>
      <c r="GZ19" s="25"/>
      <c r="HA19" s="25"/>
      <c r="HB19" s="25"/>
      <c r="HC19" s="25"/>
      <c r="HD19" s="25"/>
      <c r="HE19" s="25"/>
      <c r="HF19" s="25"/>
      <c r="HG19" s="25"/>
      <c r="HH19" s="25"/>
      <c r="HI19" s="25"/>
      <c r="HJ19" s="25"/>
      <c r="HK19" s="25"/>
      <c r="HL19" s="25"/>
      <c r="HM19" s="25"/>
      <c r="HN19" s="25"/>
      <c r="HO19" s="25"/>
      <c r="HP19" s="25"/>
      <c r="HQ19" s="25"/>
      <c r="HR19" s="25"/>
      <c r="HS19" s="25"/>
      <c r="HT19" s="25"/>
      <c r="HU19" s="25"/>
      <c r="HV19" s="25"/>
      <c r="HW19" s="25"/>
      <c r="HX19" s="25"/>
      <c r="HY19" s="25"/>
      <c r="HZ19" s="25"/>
      <c r="IA19" s="25"/>
      <c r="IB19" s="25"/>
      <c r="IC19" s="25"/>
      <c r="ID19" s="25"/>
      <c r="IE19" s="25"/>
      <c r="IF19" s="25"/>
      <c r="IG19" s="25"/>
      <c r="IH19" s="25"/>
      <c r="II19" s="25"/>
      <c r="IJ19" s="25"/>
      <c r="IK19" s="25"/>
      <c r="IL19" s="25"/>
      <c r="IM19" s="25"/>
      <c r="IN19" s="25"/>
      <c r="IO19" s="25"/>
      <c r="IP19" s="25"/>
      <c r="IQ19" s="25"/>
      <c r="IR19" s="25"/>
      <c r="IS19" s="25"/>
      <c r="IT19" s="25"/>
      <c r="IU19" s="25"/>
      <c r="IV19" s="25"/>
      <c r="IW19" s="25"/>
      <c r="IX19" s="25"/>
      <c r="IY19" s="25"/>
      <c r="IZ19" s="25"/>
      <c r="JA19" s="25"/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25"/>
      <c r="JM19" s="25"/>
      <c r="JN19" s="25"/>
      <c r="JO19" s="25"/>
      <c r="JP19" s="25"/>
      <c r="JQ19" s="25"/>
      <c r="JR19" s="25"/>
      <c r="JS19" s="25"/>
      <c r="JT19" s="25"/>
      <c r="JU19" s="25"/>
      <c r="JV19" s="25"/>
      <c r="JW19" s="25"/>
      <c r="JX19" s="25"/>
      <c r="JY19" s="25"/>
      <c r="JZ19" s="25"/>
      <c r="KA19" s="25"/>
      <c r="KB19" s="25"/>
      <c r="KC19" s="25"/>
      <c r="KD19" s="25"/>
      <c r="KE19" s="25"/>
      <c r="KF19" s="25"/>
      <c r="KG19" s="25"/>
      <c r="KH19" s="25"/>
      <c r="KI19" s="25"/>
      <c r="KJ19" s="25"/>
      <c r="KK19" s="25"/>
      <c r="KL19" s="25"/>
      <c r="KM19" s="25"/>
      <c r="KN19" s="25"/>
      <c r="KO19" s="25"/>
      <c r="KP19" s="25"/>
      <c r="KQ19" s="25"/>
      <c r="KR19" s="25"/>
      <c r="KS19" s="25"/>
      <c r="KT19" s="25"/>
      <c r="KU19" s="25"/>
      <c r="KV19" s="25"/>
      <c r="KW19" s="25"/>
      <c r="KX19" s="25"/>
      <c r="KY19" s="25"/>
      <c r="KZ19" s="25"/>
      <c r="LA19" s="25"/>
      <c r="LB19" s="25"/>
      <c r="LC19" s="25"/>
      <c r="LD19" s="25"/>
      <c r="LE19" s="25"/>
      <c r="LF19" s="25"/>
      <c r="LG19" s="25"/>
      <c r="LH19" s="25"/>
      <c r="LI19" s="25"/>
      <c r="LJ19" s="25"/>
      <c r="LK19" s="25"/>
      <c r="LL19" s="25"/>
      <c r="LM19" s="25"/>
      <c r="LN19" s="25"/>
      <c r="LO19" s="25"/>
      <c r="LP19" s="25"/>
      <c r="LQ19" s="25"/>
      <c r="LR19" s="25"/>
      <c r="LS19" s="25"/>
      <c r="LT19" s="25"/>
      <c r="LU19" s="25"/>
      <c r="LV19" s="25"/>
      <c r="LW19" s="25"/>
      <c r="LX19" s="25"/>
      <c r="LY19" s="25"/>
      <c r="LZ19" s="25"/>
      <c r="MA19" s="25"/>
      <c r="MB19" s="25"/>
      <c r="MC19" s="25"/>
      <c r="MD19" s="25"/>
      <c r="ME19" s="25"/>
      <c r="MF19" s="25"/>
      <c r="MG19" s="27"/>
    </row>
    <row r="20" spans="1:345" x14ac:dyDescent="0.2">
      <c r="A20" s="3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V20" s="8" t="s">
        <v>47</v>
      </c>
      <c r="W20" s="38">
        <f t="shared" si="5"/>
        <v>42.333300000000001</v>
      </c>
      <c r="X20" s="38">
        <f t="shared" si="6"/>
        <v>52.5</v>
      </c>
      <c r="Y20" s="38"/>
      <c r="Z20" s="40">
        <v>42.333300000000001</v>
      </c>
      <c r="AA20" s="51"/>
      <c r="AB20" s="40">
        <v>52.5</v>
      </c>
      <c r="AC20" s="51"/>
      <c r="AE20" s="8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7"/>
      <c r="AR20" s="8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BK20" s="25"/>
      <c r="BL20" s="25"/>
      <c r="BM20" s="25"/>
      <c r="BN20" s="25"/>
      <c r="BO20" s="25"/>
      <c r="BP20" s="25"/>
      <c r="BQ20" s="25"/>
      <c r="BR20" s="25"/>
      <c r="BS20" s="25"/>
      <c r="BT20" s="25"/>
      <c r="BU20" s="25"/>
      <c r="BV20" s="25"/>
      <c r="BW20" s="25"/>
      <c r="BX20" s="25"/>
      <c r="BY20" s="25"/>
      <c r="BZ20" s="25"/>
      <c r="CA20" s="25"/>
      <c r="CB20" s="25"/>
      <c r="CC20" s="25"/>
      <c r="CD20" s="25"/>
      <c r="CE20" s="25"/>
      <c r="CF20" s="25"/>
      <c r="CG20" s="25"/>
      <c r="CH20" s="25"/>
      <c r="CI20" s="25"/>
      <c r="CJ20" s="25"/>
      <c r="CK20" s="25"/>
      <c r="CL20" s="25"/>
      <c r="CM20" s="25"/>
      <c r="CN20" s="25"/>
      <c r="CO20" s="25"/>
      <c r="CP20" s="25"/>
      <c r="CQ20" s="25"/>
      <c r="CR20" s="25"/>
      <c r="CS20" s="25"/>
      <c r="CT20" s="25"/>
      <c r="CU20" s="25"/>
      <c r="CV20" s="25"/>
      <c r="CW20" s="25"/>
      <c r="CX20" s="25"/>
      <c r="CY20" s="25"/>
      <c r="CZ20" s="25"/>
      <c r="DA20" s="25"/>
      <c r="DB20" s="25"/>
      <c r="DC20" s="25"/>
      <c r="DD20" s="25"/>
      <c r="DE20" s="25"/>
      <c r="DF20" s="25"/>
      <c r="DG20" s="25"/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25"/>
      <c r="DX20" s="25"/>
      <c r="DY20" s="25"/>
      <c r="DZ20" s="25"/>
      <c r="EA20" s="25"/>
      <c r="EB20" s="25"/>
      <c r="EC20" s="25"/>
      <c r="ED20" s="25"/>
      <c r="EE20" s="25"/>
      <c r="EF20" s="25"/>
      <c r="EG20" s="25"/>
      <c r="EH20" s="25"/>
      <c r="EI20" s="25"/>
      <c r="EJ20" s="25"/>
      <c r="EK20" s="25"/>
      <c r="EL20" s="25"/>
      <c r="EM20" s="25"/>
      <c r="EN20" s="25"/>
      <c r="EO20" s="25"/>
      <c r="EP20" s="25"/>
      <c r="EQ20" s="25"/>
      <c r="ER20" s="25"/>
      <c r="ES20" s="25"/>
      <c r="ET20" s="25"/>
      <c r="EU20" s="25"/>
      <c r="EV20" s="25"/>
      <c r="EW20" s="25"/>
      <c r="EX20" s="25"/>
      <c r="EY20" s="25"/>
      <c r="EZ20" s="25"/>
      <c r="FA20" s="25"/>
      <c r="FB20" s="25"/>
      <c r="FC20" s="25"/>
      <c r="FD20" s="25"/>
      <c r="FE20" s="25"/>
      <c r="FF20" s="25"/>
      <c r="FG20" s="25"/>
      <c r="FH20" s="25"/>
      <c r="FI20" s="25"/>
      <c r="FJ20" s="25"/>
      <c r="FK20" s="25"/>
      <c r="FL20" s="25"/>
      <c r="FM20" s="25"/>
      <c r="FN20" s="25"/>
      <c r="FO20" s="25"/>
      <c r="FP20" s="25"/>
      <c r="FQ20" s="25"/>
      <c r="FR20" s="25"/>
      <c r="FS20" s="25"/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25"/>
      <c r="GH20" s="25"/>
      <c r="GI20" s="25"/>
      <c r="GJ20" s="25"/>
      <c r="GK20" s="25"/>
      <c r="GL20" s="25"/>
      <c r="GM20" s="25"/>
      <c r="GN20" s="25"/>
      <c r="GO20" s="25"/>
      <c r="GP20" s="25"/>
      <c r="GQ20" s="25"/>
      <c r="GR20" s="25"/>
      <c r="GS20" s="25"/>
      <c r="GT20" s="25"/>
      <c r="GU20" s="25"/>
      <c r="GV20" s="25"/>
      <c r="GW20" s="25"/>
      <c r="GX20" s="25"/>
      <c r="GY20" s="25"/>
      <c r="GZ20" s="25"/>
      <c r="HA20" s="25"/>
      <c r="HB20" s="25"/>
      <c r="HC20" s="25"/>
      <c r="HD20" s="25"/>
      <c r="HE20" s="25"/>
      <c r="HF20" s="25"/>
      <c r="HG20" s="25"/>
      <c r="HH20" s="25"/>
      <c r="HI20" s="25"/>
      <c r="HJ20" s="25"/>
      <c r="HK20" s="25"/>
      <c r="HL20" s="25"/>
      <c r="HM20" s="25"/>
      <c r="HN20" s="25"/>
      <c r="HO20" s="25"/>
      <c r="HP20" s="25"/>
      <c r="HQ20" s="25"/>
      <c r="HR20" s="25"/>
      <c r="HS20" s="25"/>
      <c r="HT20" s="25"/>
      <c r="HU20" s="25"/>
      <c r="HV20" s="25"/>
      <c r="HW20" s="25"/>
      <c r="HX20" s="25"/>
      <c r="HY20" s="25"/>
      <c r="HZ20" s="25"/>
      <c r="IA20" s="25"/>
      <c r="IB20" s="25"/>
      <c r="IC20" s="25"/>
      <c r="ID20" s="25"/>
      <c r="IE20" s="25"/>
      <c r="IF20" s="25"/>
      <c r="IG20" s="25"/>
      <c r="IH20" s="25"/>
      <c r="II20" s="25"/>
      <c r="IJ20" s="25"/>
      <c r="IK20" s="25"/>
      <c r="IL20" s="25"/>
      <c r="IM20" s="25"/>
      <c r="IN20" s="25"/>
      <c r="IO20" s="25"/>
      <c r="IP20" s="25"/>
      <c r="IQ20" s="25"/>
      <c r="IR20" s="25"/>
      <c r="IS20" s="25"/>
      <c r="IT20" s="25"/>
      <c r="IU20" s="25"/>
      <c r="IV20" s="25"/>
      <c r="IW20" s="25"/>
      <c r="IX20" s="25"/>
      <c r="IY20" s="25"/>
      <c r="IZ20" s="25"/>
      <c r="JA20" s="25"/>
      <c r="JB20" s="25"/>
      <c r="JC20" s="25"/>
      <c r="JD20" s="25"/>
      <c r="JE20" s="25"/>
      <c r="JF20" s="25"/>
      <c r="JG20" s="25"/>
      <c r="JH20" s="25"/>
      <c r="JI20" s="25"/>
      <c r="JJ20" s="25"/>
      <c r="JK20" s="25"/>
      <c r="JL20" s="25"/>
      <c r="JM20" s="25"/>
      <c r="JN20" s="25"/>
      <c r="JO20" s="25"/>
      <c r="JP20" s="25"/>
      <c r="JQ20" s="25"/>
      <c r="JR20" s="25"/>
      <c r="JS20" s="25"/>
      <c r="JT20" s="25"/>
      <c r="JU20" s="25"/>
      <c r="JV20" s="25"/>
      <c r="JW20" s="25"/>
      <c r="JX20" s="25"/>
      <c r="JY20" s="25"/>
      <c r="JZ20" s="25"/>
      <c r="KA20" s="25"/>
      <c r="KB20" s="25"/>
      <c r="KC20" s="25"/>
      <c r="KD20" s="25"/>
      <c r="KE20" s="25"/>
      <c r="KF20" s="25"/>
      <c r="KG20" s="25"/>
      <c r="KH20" s="25"/>
      <c r="KI20" s="25"/>
      <c r="KJ20" s="25"/>
      <c r="KK20" s="25"/>
      <c r="KL20" s="25"/>
      <c r="KM20" s="25"/>
      <c r="KN20" s="25"/>
      <c r="KO20" s="25"/>
      <c r="KP20" s="25"/>
      <c r="KQ20" s="25"/>
      <c r="KR20" s="25"/>
      <c r="KS20" s="25"/>
      <c r="KT20" s="25"/>
      <c r="KU20" s="25"/>
      <c r="KV20" s="25"/>
      <c r="KW20" s="25"/>
      <c r="KX20" s="25"/>
      <c r="KY20" s="25"/>
      <c r="KZ20" s="25"/>
      <c r="LA20" s="25"/>
      <c r="LB20" s="25"/>
      <c r="LC20" s="25"/>
      <c r="LD20" s="25"/>
      <c r="LE20" s="25"/>
      <c r="LF20" s="25"/>
      <c r="LG20" s="25"/>
      <c r="LH20" s="25"/>
      <c r="LI20" s="25"/>
      <c r="LJ20" s="25"/>
      <c r="LK20" s="25"/>
      <c r="LL20" s="25"/>
      <c r="LM20" s="25"/>
      <c r="LN20" s="25"/>
      <c r="LO20" s="25"/>
      <c r="LP20" s="25"/>
      <c r="LQ20" s="25"/>
      <c r="LR20" s="25"/>
      <c r="LS20" s="25"/>
      <c r="LT20" s="25"/>
      <c r="LU20" s="25"/>
      <c r="LV20" s="25"/>
      <c r="LW20" s="25"/>
      <c r="LX20" s="25"/>
      <c r="LY20" s="25"/>
      <c r="LZ20" s="25"/>
      <c r="MA20" s="25"/>
      <c r="MB20" s="25"/>
      <c r="MC20" s="25"/>
      <c r="MD20" s="25"/>
      <c r="ME20" s="25"/>
      <c r="MF20" s="25"/>
      <c r="MG20" s="27"/>
    </row>
    <row r="21" spans="1:345" x14ac:dyDescent="0.2">
      <c r="A21" s="3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V21" s="14" t="s">
        <v>48</v>
      </c>
      <c r="W21" s="42">
        <f t="shared" si="5"/>
        <v>19</v>
      </c>
      <c r="X21" s="42">
        <f t="shared" si="6"/>
        <v>15</v>
      </c>
      <c r="Y21" s="42"/>
      <c r="Z21" s="43">
        <v>15</v>
      </c>
      <c r="AA21" s="53">
        <v>19</v>
      </c>
      <c r="AB21" s="43">
        <v>15</v>
      </c>
      <c r="AC21" s="53"/>
      <c r="AE21" s="14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28"/>
      <c r="AR21" s="14"/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G21" s="30"/>
      <c r="BH21" s="30"/>
      <c r="BI21" s="30"/>
      <c r="BJ21" s="30"/>
      <c r="BK21" s="30"/>
      <c r="BL21" s="30"/>
      <c r="BM21" s="30"/>
      <c r="BN21" s="30"/>
      <c r="BO21" s="30"/>
      <c r="BP21" s="30"/>
      <c r="BQ21" s="30"/>
      <c r="BR21" s="30"/>
      <c r="BS21" s="30"/>
      <c r="BT21" s="30"/>
      <c r="BU21" s="30"/>
      <c r="BV21" s="30"/>
      <c r="BW21" s="30"/>
      <c r="BX21" s="30"/>
      <c r="BY21" s="30"/>
      <c r="BZ21" s="30"/>
      <c r="CA21" s="30"/>
      <c r="CB21" s="30"/>
      <c r="CC21" s="30"/>
      <c r="CD21" s="30"/>
      <c r="CE21" s="30"/>
      <c r="CF21" s="30"/>
      <c r="CG21" s="30"/>
      <c r="CH21" s="30"/>
      <c r="CI21" s="30"/>
      <c r="CJ21" s="30"/>
      <c r="CK21" s="30"/>
      <c r="CL21" s="30"/>
      <c r="CM21" s="30"/>
      <c r="CN21" s="30"/>
      <c r="CO21" s="30"/>
      <c r="CP21" s="30"/>
      <c r="CQ21" s="30"/>
      <c r="CR21" s="30"/>
      <c r="CS21" s="30"/>
      <c r="CT21" s="30"/>
      <c r="CU21" s="30"/>
      <c r="CV21" s="30"/>
      <c r="CW21" s="30"/>
      <c r="CX21" s="30"/>
      <c r="CY21" s="30"/>
      <c r="CZ21" s="30"/>
      <c r="DA21" s="30"/>
      <c r="DB21" s="30"/>
      <c r="DC21" s="30"/>
      <c r="DD21" s="30"/>
      <c r="DE21" s="30"/>
      <c r="DF21" s="30"/>
      <c r="DG21" s="30"/>
      <c r="DH21" s="30"/>
      <c r="DI21" s="30"/>
      <c r="DJ21" s="30"/>
      <c r="DK21" s="30"/>
      <c r="DL21" s="30"/>
      <c r="DM21" s="30"/>
      <c r="DN21" s="30"/>
      <c r="DO21" s="30"/>
      <c r="DP21" s="30"/>
      <c r="DQ21" s="30"/>
      <c r="DR21" s="30"/>
      <c r="DS21" s="30"/>
      <c r="DT21" s="30"/>
      <c r="DU21" s="30"/>
      <c r="DV21" s="30"/>
      <c r="DW21" s="30"/>
      <c r="DX21" s="30"/>
      <c r="DY21" s="30"/>
      <c r="DZ21" s="30"/>
      <c r="EA21" s="30"/>
      <c r="EB21" s="30"/>
      <c r="EC21" s="30"/>
      <c r="ED21" s="30"/>
      <c r="EE21" s="30"/>
      <c r="EF21" s="30"/>
      <c r="EG21" s="30"/>
      <c r="EH21" s="30"/>
      <c r="EI21" s="30"/>
      <c r="EJ21" s="30"/>
      <c r="EK21" s="30"/>
      <c r="EL21" s="30"/>
      <c r="EM21" s="30"/>
      <c r="EN21" s="30"/>
      <c r="EO21" s="30"/>
      <c r="EP21" s="30"/>
      <c r="EQ21" s="30"/>
      <c r="ER21" s="30"/>
      <c r="ES21" s="30"/>
      <c r="ET21" s="30"/>
      <c r="EU21" s="30"/>
      <c r="EV21" s="30"/>
      <c r="EW21" s="30"/>
      <c r="EX21" s="30"/>
      <c r="EY21" s="30"/>
      <c r="EZ21" s="30"/>
      <c r="FA21" s="30"/>
      <c r="FB21" s="30"/>
      <c r="FC21" s="30"/>
      <c r="FD21" s="30"/>
      <c r="FE21" s="30"/>
      <c r="FF21" s="30"/>
      <c r="FG21" s="30"/>
      <c r="FH21" s="30"/>
      <c r="FI21" s="30"/>
      <c r="FJ21" s="30"/>
      <c r="FK21" s="30"/>
      <c r="FL21" s="30"/>
      <c r="FM21" s="30"/>
      <c r="FN21" s="30"/>
      <c r="FO21" s="30"/>
      <c r="FP21" s="30"/>
      <c r="FQ21" s="30"/>
      <c r="FR21" s="30"/>
      <c r="FS21" s="30"/>
      <c r="FT21" s="30"/>
      <c r="FU21" s="30"/>
      <c r="FV21" s="30"/>
      <c r="FW21" s="30"/>
      <c r="FX21" s="30"/>
      <c r="FY21" s="30"/>
      <c r="FZ21" s="30"/>
      <c r="GA21" s="30"/>
      <c r="GB21" s="30"/>
      <c r="GC21" s="30"/>
      <c r="GD21" s="30"/>
      <c r="GE21" s="30"/>
      <c r="GF21" s="30"/>
      <c r="GG21" s="30"/>
      <c r="GH21" s="30"/>
      <c r="GI21" s="30"/>
      <c r="GJ21" s="30"/>
      <c r="GK21" s="30"/>
      <c r="GL21" s="30"/>
      <c r="GM21" s="30"/>
      <c r="GN21" s="30"/>
      <c r="GO21" s="30"/>
      <c r="GP21" s="30"/>
      <c r="GQ21" s="30"/>
      <c r="GR21" s="30"/>
      <c r="GS21" s="30"/>
      <c r="GT21" s="30"/>
      <c r="GU21" s="30"/>
      <c r="GV21" s="30"/>
      <c r="GW21" s="30"/>
      <c r="GX21" s="30"/>
      <c r="GY21" s="30"/>
      <c r="GZ21" s="30"/>
      <c r="HA21" s="30"/>
      <c r="HB21" s="30"/>
      <c r="HC21" s="30"/>
      <c r="HD21" s="30"/>
      <c r="HE21" s="30"/>
      <c r="HF21" s="30"/>
      <c r="HG21" s="30"/>
      <c r="HH21" s="30"/>
      <c r="HI21" s="30"/>
      <c r="HJ21" s="30"/>
      <c r="HK21" s="30"/>
      <c r="HL21" s="30"/>
      <c r="HM21" s="30"/>
      <c r="HN21" s="30"/>
      <c r="HO21" s="30"/>
      <c r="HP21" s="30"/>
      <c r="HQ21" s="30"/>
      <c r="HR21" s="30"/>
      <c r="HS21" s="30"/>
      <c r="HT21" s="30"/>
      <c r="HU21" s="30"/>
      <c r="HV21" s="30"/>
      <c r="HW21" s="30"/>
      <c r="HX21" s="30"/>
      <c r="HY21" s="30"/>
      <c r="HZ21" s="30"/>
      <c r="IA21" s="30"/>
      <c r="IB21" s="30"/>
      <c r="IC21" s="30"/>
      <c r="ID21" s="30"/>
      <c r="IE21" s="30"/>
      <c r="IF21" s="30"/>
      <c r="IG21" s="30"/>
      <c r="IH21" s="30"/>
      <c r="II21" s="30"/>
      <c r="IJ21" s="30"/>
      <c r="IK21" s="30"/>
      <c r="IL21" s="30"/>
      <c r="IM21" s="30"/>
      <c r="IN21" s="30"/>
      <c r="IO21" s="30"/>
      <c r="IP21" s="30"/>
      <c r="IQ21" s="30"/>
      <c r="IR21" s="30"/>
      <c r="IS21" s="30"/>
      <c r="IT21" s="30"/>
      <c r="IU21" s="30"/>
      <c r="IV21" s="30"/>
      <c r="IW21" s="30"/>
      <c r="IX21" s="30"/>
      <c r="IY21" s="30"/>
      <c r="IZ21" s="30"/>
      <c r="JA21" s="30"/>
      <c r="JB21" s="30"/>
      <c r="JC21" s="30"/>
      <c r="JD21" s="30"/>
      <c r="JE21" s="30"/>
      <c r="JF21" s="30"/>
      <c r="JG21" s="30"/>
      <c r="JH21" s="30"/>
      <c r="JI21" s="30"/>
      <c r="JJ21" s="30"/>
      <c r="JK21" s="30"/>
      <c r="JL21" s="30"/>
      <c r="JM21" s="30"/>
      <c r="JN21" s="30"/>
      <c r="JO21" s="30"/>
      <c r="JP21" s="30"/>
      <c r="JQ21" s="30"/>
      <c r="JR21" s="30"/>
      <c r="JS21" s="30"/>
      <c r="JT21" s="30"/>
      <c r="JU21" s="30"/>
      <c r="JV21" s="30"/>
      <c r="JW21" s="30"/>
      <c r="JX21" s="30"/>
      <c r="JY21" s="30"/>
      <c r="JZ21" s="30"/>
      <c r="KA21" s="30"/>
      <c r="KB21" s="30"/>
      <c r="KC21" s="30"/>
      <c r="KD21" s="30"/>
      <c r="KE21" s="30"/>
      <c r="KF21" s="30"/>
      <c r="KG21" s="30"/>
      <c r="KH21" s="30"/>
      <c r="KI21" s="30"/>
      <c r="KJ21" s="30"/>
      <c r="KK21" s="30"/>
      <c r="KL21" s="30"/>
      <c r="KM21" s="30"/>
      <c r="KN21" s="30"/>
      <c r="KO21" s="30"/>
      <c r="KP21" s="30"/>
      <c r="KQ21" s="30"/>
      <c r="KR21" s="30"/>
      <c r="KS21" s="30"/>
      <c r="KT21" s="30"/>
      <c r="KU21" s="30"/>
      <c r="KV21" s="30"/>
      <c r="KW21" s="30"/>
      <c r="KX21" s="30"/>
      <c r="KY21" s="30"/>
      <c r="KZ21" s="30"/>
      <c r="LA21" s="30"/>
      <c r="LB21" s="30"/>
      <c r="LC21" s="30"/>
      <c r="LD21" s="30"/>
      <c r="LE21" s="30"/>
      <c r="LF21" s="30"/>
      <c r="LG21" s="30"/>
      <c r="LH21" s="30"/>
      <c r="LI21" s="30"/>
      <c r="LJ21" s="30"/>
      <c r="LK21" s="30"/>
      <c r="LL21" s="30"/>
      <c r="LM21" s="30"/>
      <c r="LN21" s="30"/>
      <c r="LO21" s="30"/>
      <c r="LP21" s="30"/>
      <c r="LQ21" s="30"/>
      <c r="LR21" s="30"/>
      <c r="LS21" s="30"/>
      <c r="LT21" s="30"/>
      <c r="LU21" s="30"/>
      <c r="LV21" s="30"/>
      <c r="LW21" s="30"/>
      <c r="LX21" s="30"/>
      <c r="LY21" s="30"/>
      <c r="LZ21" s="30"/>
      <c r="MA21" s="30"/>
      <c r="MB21" s="30"/>
      <c r="MC21" s="30"/>
      <c r="MD21" s="30"/>
      <c r="ME21" s="30"/>
      <c r="MF21" s="30"/>
      <c r="MG21" s="28"/>
    </row>
    <row r="22" spans="1:345" x14ac:dyDescent="0.2">
      <c r="A22" s="3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V22" s="24" t="str">
        <f>IF(AP22&gt;0,LEFT(AO22,AP22-2),"")</f>
        <v>R6</v>
      </c>
      <c r="W22" s="34">
        <f t="shared" ref="W22:W46" si="7">IF(AA22&gt;0,AA22,Z22)</f>
        <v>15</v>
      </c>
      <c r="X22" s="34">
        <f t="shared" ref="X22:X46" si="8">IF(AC22&gt;0,AC22,AB22)</f>
        <v>7.5</v>
      </c>
      <c r="Y22" s="46" t="str">
        <f t="shared" ref="Y22:Y46" si="9">Z22&amp;AB22</f>
        <v>1010</v>
      </c>
      <c r="Z22" s="36">
        <f t="shared" ref="Z22:Z46" si="10">AR22</f>
        <v>10</v>
      </c>
      <c r="AA22" s="48">
        <f t="shared" ref="AA22:AA46" si="11">VLOOKUP(Y22,$Y$51:$AC$75,3,0)</f>
        <v>15</v>
      </c>
      <c r="AB22" s="36">
        <f t="shared" ref="AB22:AB46" si="12">AS22</f>
        <v>10</v>
      </c>
      <c r="AC22" s="48">
        <f t="shared" ref="AC22:AC46" si="13">VLOOKUP(Y22,$Y$51:$AC$75,5,0)</f>
        <v>7.5</v>
      </c>
      <c r="AE22" s="9" t="str">
        <f>CONCATENATE(AT22,AU22,AV22,AW22,AX22,AY22,AZ22,BA22,BB22,BC22,BD22,BE22,BF22,BG22,BH22,BI22,BJ22,BK22,BL22,BM22,BN22,BO22,BP22,BQ22,BR22,BS22,BT22,BU22,BV22,BW22)</f>
        <v xml:space="preserve">R6, </v>
      </c>
      <c r="AF22" s="9" t="str">
        <f>CONCATENATE(BX22,BY22,BZ22,CA22,CB22,CC22,CD22,CE22,CF22,CG22,CH22,CI22,CJ22,CK22,CL22,CM22,CN22,CO22,CP22,CQ22,CR22,CS22,CT22,CU22,CV22,CW22,CX22,CY22,CZ22,DA22)</f>
        <v/>
      </c>
      <c r="AG22" s="9" t="str">
        <f>CONCATENATE(DB22,DC22,DD22,DE22,DF22,DG22,DH22,DI22,DJ22,DK22,DL22,DM22,DN22,DO22,DP22,DQ22,DR22,DS22,DT22,DU22,DV22,DW22,DX22,DY22,DZ22,EA22,EB22,EC22,ED22,EE22)</f>
        <v/>
      </c>
      <c r="AH22" s="9" t="str">
        <f>CONCATENATE(EF22,EG22,EH22,EI22,EJ22,EK22,EL22,EM22,EN22,EO22,EP22,EQ22,ER22,ES22,ET22,EU22,EV22,EW22,EX22,EY22,EZ22,FA22,FB22,FC22,FD22,FE22,FF22,FG22,FH22,FI22)</f>
        <v/>
      </c>
      <c r="AI22" s="9" t="str">
        <f>CONCATENATE(FJ22,FK22,FL22,FM22,FN22,FO22,FP22,FQ22,FR22,FS22,FT22,FU22,FV22,FW22,FX22,FY22,FZ22,GA22,GB22,GC22,GD22,GE22,GF22,GG22,GH22,GI22,GJ22,GK22,GL22,GM22)</f>
        <v/>
      </c>
      <c r="AJ22" s="9" t="str">
        <f>CONCATENATE(GN22,GO22,GP22,GQ22,GR22,GS22,GT22,GU22,GV22,GW22,GX22,GY22,GZ22,HA22,HB22,HC22,HD22,HE22,HF22,HG22,HH22,HI22,HJ22,HK22,HL22,HM22,HN22,HO22,HP22,HQ22)</f>
        <v/>
      </c>
      <c r="AK22" s="9" t="str">
        <f>CONCATENATE(HR22,HS22,HT22,HU22,HV22,HW22,HX22,HY22,HZ22,IA22,IB22,IC22,ID22,IE22,IF22,IG22,IH22,II22,IJ22,IK22,IL22,IM22,IN22,IO22,IP22,IQ22,IR22,IS22,IT22,IU22)</f>
        <v/>
      </c>
      <c r="AL22" s="9" t="str">
        <f>CONCATENATE(IV22,IW22,IX22,IY22,IZ22,JA22,JB22,JC22,JD22,JE22,JF22,JG22,JH22,JI22,JJ22,JK22,JL22,JM22,JN22,JO22,JP22,JQ22,JR22,JS22,JT22,JU22,JV22,JW22,JX22,JY22)</f>
        <v/>
      </c>
      <c r="AM22" s="9" t="str">
        <f>CONCATENATE(JZ22,KA22,KB22,KC22,KD22,KE22,KF22,KG22,KH22,KI22,KJ22,KK22,KL22,KM22,KN22,KO22,KP22,KQ22,KR22,KS22,KT22,KU22,KV22,KW22,KX22,KY22,KZ22,LA22,LB22,LC22)</f>
        <v/>
      </c>
      <c r="AN22" s="9" t="str">
        <f>CONCATENATE(LD22,LE22,LF22,LG22,LH22,LI22,LJ22,LK22,LL22,LM22,LN22,LO22,LP22,LQ22,LR22,LS22,LT22,LU22,LV22,LW22,LX22,LY22,LZ22,MA22,MB22,MC22,MD22,ME22,MF22,MG22)</f>
        <v/>
      </c>
      <c r="AO22" s="10" t="str">
        <f>CONCATENATE(AE22,AF22,AG22,AH22,AI22,AJ22,AK22,AL22,AM22,AN22)</f>
        <v xml:space="preserve">R6, </v>
      </c>
      <c r="AP22" s="11">
        <f>LEN(AO22)</f>
        <v>4</v>
      </c>
      <c r="AR22" s="12">
        <f>AR51</f>
        <v>10</v>
      </c>
      <c r="AS22" s="13">
        <f>IF(AS51&gt;0,AS51,"")</f>
        <v>10</v>
      </c>
      <c r="AT22" s="13" t="str">
        <f>IF(AT51&gt;0,TEXT(AT$50,"R"&amp;0)&amp;", ","")</f>
        <v/>
      </c>
      <c r="AU22" s="13" t="str">
        <f t="shared" ref="AU22:DF23" si="14">IF(AU51&gt;0,TEXT(AU$50,"R"&amp;0)&amp;", ","")</f>
        <v/>
      </c>
      <c r="AV22" s="13" t="str">
        <f t="shared" si="14"/>
        <v/>
      </c>
      <c r="AW22" s="13" t="str">
        <f t="shared" si="14"/>
        <v/>
      </c>
      <c r="AX22" s="13" t="str">
        <f t="shared" si="14"/>
        <v/>
      </c>
      <c r="AY22" s="13" t="str">
        <f t="shared" si="14"/>
        <v xml:space="preserve">R6, </v>
      </c>
      <c r="AZ22" s="13" t="str">
        <f t="shared" si="14"/>
        <v/>
      </c>
      <c r="BA22" s="13" t="str">
        <f t="shared" si="14"/>
        <v/>
      </c>
      <c r="BB22" s="13" t="str">
        <f t="shared" si="14"/>
        <v/>
      </c>
      <c r="BC22" s="13" t="str">
        <f t="shared" si="14"/>
        <v/>
      </c>
      <c r="BD22" s="13" t="str">
        <f t="shared" si="14"/>
        <v/>
      </c>
      <c r="BE22" s="13" t="str">
        <f t="shared" si="14"/>
        <v/>
      </c>
      <c r="BF22" s="13" t="str">
        <f t="shared" si="14"/>
        <v/>
      </c>
      <c r="BG22" s="13" t="str">
        <f t="shared" si="14"/>
        <v/>
      </c>
      <c r="BH22" s="13" t="str">
        <f t="shared" si="14"/>
        <v/>
      </c>
      <c r="BI22" s="13" t="str">
        <f t="shared" si="14"/>
        <v/>
      </c>
      <c r="BJ22" s="13" t="str">
        <f t="shared" si="14"/>
        <v/>
      </c>
      <c r="BK22" s="13" t="str">
        <f t="shared" si="14"/>
        <v/>
      </c>
      <c r="BL22" s="13" t="str">
        <f t="shared" si="14"/>
        <v/>
      </c>
      <c r="BM22" s="13" t="str">
        <f t="shared" si="14"/>
        <v/>
      </c>
      <c r="BN22" s="13" t="str">
        <f t="shared" si="14"/>
        <v/>
      </c>
      <c r="BO22" s="13" t="str">
        <f t="shared" si="14"/>
        <v/>
      </c>
      <c r="BP22" s="13" t="str">
        <f t="shared" si="14"/>
        <v/>
      </c>
      <c r="BQ22" s="13" t="str">
        <f t="shared" si="14"/>
        <v/>
      </c>
      <c r="BR22" s="13" t="str">
        <f t="shared" si="14"/>
        <v/>
      </c>
      <c r="BS22" s="13" t="str">
        <f t="shared" si="14"/>
        <v/>
      </c>
      <c r="BT22" s="13" t="str">
        <f t="shared" si="14"/>
        <v/>
      </c>
      <c r="BU22" s="13" t="str">
        <f t="shared" si="14"/>
        <v/>
      </c>
      <c r="BV22" s="13" t="str">
        <f t="shared" si="14"/>
        <v/>
      </c>
      <c r="BW22" s="13" t="str">
        <f t="shared" si="14"/>
        <v/>
      </c>
      <c r="BX22" s="13" t="str">
        <f t="shared" si="14"/>
        <v/>
      </c>
      <c r="BY22" s="13" t="str">
        <f t="shared" si="14"/>
        <v/>
      </c>
      <c r="BZ22" s="13" t="str">
        <f t="shared" si="14"/>
        <v/>
      </c>
      <c r="CA22" s="13" t="str">
        <f t="shared" si="14"/>
        <v/>
      </c>
      <c r="CB22" s="13" t="str">
        <f t="shared" si="14"/>
        <v/>
      </c>
      <c r="CC22" s="13" t="str">
        <f t="shared" si="14"/>
        <v/>
      </c>
      <c r="CD22" s="13" t="str">
        <f t="shared" si="14"/>
        <v/>
      </c>
      <c r="CE22" s="13" t="str">
        <f t="shared" si="14"/>
        <v/>
      </c>
      <c r="CF22" s="13" t="str">
        <f t="shared" si="14"/>
        <v/>
      </c>
      <c r="CG22" s="13" t="str">
        <f t="shared" si="14"/>
        <v/>
      </c>
      <c r="CH22" s="13" t="str">
        <f t="shared" si="14"/>
        <v/>
      </c>
      <c r="CI22" s="13" t="str">
        <f t="shared" si="14"/>
        <v/>
      </c>
      <c r="CJ22" s="13" t="str">
        <f t="shared" si="14"/>
        <v/>
      </c>
      <c r="CK22" s="13" t="str">
        <f t="shared" si="14"/>
        <v/>
      </c>
      <c r="CL22" s="13" t="str">
        <f t="shared" si="14"/>
        <v/>
      </c>
      <c r="CM22" s="13" t="str">
        <f t="shared" si="14"/>
        <v/>
      </c>
      <c r="CN22" s="13" t="str">
        <f t="shared" si="14"/>
        <v/>
      </c>
      <c r="CO22" s="13" t="str">
        <f t="shared" si="14"/>
        <v/>
      </c>
      <c r="CP22" s="13" t="str">
        <f t="shared" si="14"/>
        <v/>
      </c>
      <c r="CQ22" s="13" t="str">
        <f t="shared" si="14"/>
        <v/>
      </c>
      <c r="CR22" s="13" t="str">
        <f t="shared" si="14"/>
        <v/>
      </c>
      <c r="CS22" s="13" t="str">
        <f t="shared" si="14"/>
        <v/>
      </c>
      <c r="CT22" s="13" t="str">
        <f t="shared" si="14"/>
        <v/>
      </c>
      <c r="CU22" s="13" t="str">
        <f t="shared" si="14"/>
        <v/>
      </c>
      <c r="CV22" s="13" t="str">
        <f t="shared" si="14"/>
        <v/>
      </c>
      <c r="CW22" s="13" t="str">
        <f t="shared" si="14"/>
        <v/>
      </c>
      <c r="CX22" s="13" t="str">
        <f t="shared" si="14"/>
        <v/>
      </c>
      <c r="CY22" s="13" t="str">
        <f t="shared" si="14"/>
        <v/>
      </c>
      <c r="CZ22" s="13" t="str">
        <f t="shared" si="14"/>
        <v/>
      </c>
      <c r="DA22" s="13" t="str">
        <f t="shared" si="14"/>
        <v/>
      </c>
      <c r="DB22" s="13" t="str">
        <f t="shared" si="14"/>
        <v/>
      </c>
      <c r="DC22" s="13" t="str">
        <f t="shared" si="14"/>
        <v/>
      </c>
      <c r="DD22" s="13" t="str">
        <f t="shared" si="14"/>
        <v/>
      </c>
      <c r="DE22" s="13" t="str">
        <f t="shared" si="14"/>
        <v/>
      </c>
      <c r="DF22" s="13" t="str">
        <f t="shared" si="14"/>
        <v/>
      </c>
      <c r="DG22" s="13" t="str">
        <f t="shared" ref="DG22:FR25" si="15">IF(DG51&gt;0,TEXT(DG$50,"R"&amp;0)&amp;", ","")</f>
        <v/>
      </c>
      <c r="DH22" s="13" t="str">
        <f t="shared" si="15"/>
        <v/>
      </c>
      <c r="DI22" s="13" t="str">
        <f t="shared" si="15"/>
        <v/>
      </c>
      <c r="DJ22" s="13" t="str">
        <f t="shared" si="15"/>
        <v/>
      </c>
      <c r="DK22" s="13" t="str">
        <f t="shared" si="15"/>
        <v/>
      </c>
      <c r="DL22" s="13" t="str">
        <f t="shared" si="15"/>
        <v/>
      </c>
      <c r="DM22" s="13" t="str">
        <f t="shared" si="15"/>
        <v/>
      </c>
      <c r="DN22" s="13" t="str">
        <f t="shared" si="15"/>
        <v/>
      </c>
      <c r="DO22" s="13" t="str">
        <f t="shared" si="15"/>
        <v/>
      </c>
      <c r="DP22" s="13" t="str">
        <f t="shared" si="15"/>
        <v/>
      </c>
      <c r="DQ22" s="13" t="str">
        <f t="shared" si="15"/>
        <v/>
      </c>
      <c r="DR22" s="13" t="str">
        <f t="shared" si="15"/>
        <v/>
      </c>
      <c r="DS22" s="13" t="str">
        <f t="shared" si="15"/>
        <v/>
      </c>
      <c r="DT22" s="13" t="str">
        <f t="shared" si="15"/>
        <v/>
      </c>
      <c r="DU22" s="13" t="str">
        <f t="shared" si="15"/>
        <v/>
      </c>
      <c r="DV22" s="13" t="str">
        <f t="shared" si="15"/>
        <v/>
      </c>
      <c r="DW22" s="13" t="str">
        <f t="shared" si="15"/>
        <v/>
      </c>
      <c r="DX22" s="13" t="str">
        <f t="shared" si="15"/>
        <v/>
      </c>
      <c r="DY22" s="13" t="str">
        <f t="shared" si="15"/>
        <v/>
      </c>
      <c r="DZ22" s="13" t="str">
        <f t="shared" si="15"/>
        <v/>
      </c>
      <c r="EA22" s="13" t="str">
        <f t="shared" si="15"/>
        <v/>
      </c>
      <c r="EB22" s="13" t="str">
        <f t="shared" si="15"/>
        <v/>
      </c>
      <c r="EC22" s="13" t="str">
        <f t="shared" si="15"/>
        <v/>
      </c>
      <c r="ED22" s="13" t="str">
        <f t="shared" si="15"/>
        <v/>
      </c>
      <c r="EE22" s="13" t="str">
        <f t="shared" si="15"/>
        <v/>
      </c>
      <c r="EF22" s="13" t="str">
        <f t="shared" si="15"/>
        <v/>
      </c>
      <c r="EG22" s="13" t="str">
        <f t="shared" si="15"/>
        <v/>
      </c>
      <c r="EH22" s="13" t="str">
        <f t="shared" si="15"/>
        <v/>
      </c>
      <c r="EI22" s="13" t="str">
        <f t="shared" si="15"/>
        <v/>
      </c>
      <c r="EJ22" s="13" t="str">
        <f t="shared" si="15"/>
        <v/>
      </c>
      <c r="EK22" s="13" t="str">
        <f t="shared" si="15"/>
        <v/>
      </c>
      <c r="EL22" s="13" t="str">
        <f t="shared" si="15"/>
        <v/>
      </c>
      <c r="EM22" s="13" t="str">
        <f t="shared" si="15"/>
        <v/>
      </c>
      <c r="EN22" s="13" t="str">
        <f t="shared" si="15"/>
        <v/>
      </c>
      <c r="EO22" s="13" t="str">
        <f t="shared" si="15"/>
        <v/>
      </c>
      <c r="EP22" s="13" t="str">
        <f t="shared" si="15"/>
        <v/>
      </c>
      <c r="EQ22" s="13" t="str">
        <f t="shared" si="15"/>
        <v/>
      </c>
      <c r="ER22" s="13" t="str">
        <f t="shared" si="15"/>
        <v/>
      </c>
      <c r="ES22" s="13" t="str">
        <f t="shared" si="15"/>
        <v/>
      </c>
      <c r="ET22" s="13" t="str">
        <f t="shared" si="15"/>
        <v/>
      </c>
      <c r="EU22" s="13" t="str">
        <f t="shared" si="15"/>
        <v/>
      </c>
      <c r="EV22" s="13" t="str">
        <f t="shared" si="15"/>
        <v/>
      </c>
      <c r="EW22" s="13" t="str">
        <f t="shared" si="15"/>
        <v/>
      </c>
      <c r="EX22" s="13" t="str">
        <f t="shared" si="15"/>
        <v/>
      </c>
      <c r="EY22" s="13" t="str">
        <f t="shared" si="15"/>
        <v/>
      </c>
      <c r="EZ22" s="13" t="str">
        <f t="shared" si="15"/>
        <v/>
      </c>
      <c r="FA22" s="13" t="str">
        <f t="shared" si="15"/>
        <v/>
      </c>
      <c r="FB22" s="13" t="str">
        <f t="shared" si="15"/>
        <v/>
      </c>
      <c r="FC22" s="13" t="str">
        <f t="shared" si="15"/>
        <v/>
      </c>
      <c r="FD22" s="13" t="str">
        <f t="shared" si="15"/>
        <v/>
      </c>
      <c r="FE22" s="13" t="str">
        <f t="shared" si="15"/>
        <v/>
      </c>
      <c r="FF22" s="13" t="str">
        <f t="shared" si="15"/>
        <v/>
      </c>
      <c r="FG22" s="13" t="str">
        <f t="shared" si="15"/>
        <v/>
      </c>
      <c r="FH22" s="13" t="str">
        <f t="shared" si="15"/>
        <v/>
      </c>
      <c r="FI22" s="13" t="str">
        <f t="shared" si="15"/>
        <v/>
      </c>
      <c r="FJ22" s="13" t="str">
        <f t="shared" si="15"/>
        <v/>
      </c>
      <c r="FK22" s="13" t="str">
        <f t="shared" si="15"/>
        <v/>
      </c>
      <c r="FL22" s="13" t="str">
        <f t="shared" si="15"/>
        <v/>
      </c>
      <c r="FM22" s="13" t="str">
        <f t="shared" si="15"/>
        <v/>
      </c>
      <c r="FN22" s="13" t="str">
        <f t="shared" si="15"/>
        <v/>
      </c>
      <c r="FO22" s="13" t="str">
        <f t="shared" si="15"/>
        <v/>
      </c>
      <c r="FP22" s="13" t="str">
        <f t="shared" si="15"/>
        <v/>
      </c>
      <c r="FQ22" s="13" t="str">
        <f t="shared" si="15"/>
        <v/>
      </c>
      <c r="FR22" s="13" t="str">
        <f t="shared" si="15"/>
        <v/>
      </c>
      <c r="FS22" s="13" t="str">
        <f t="shared" ref="FS22:ID28" si="16">IF(FS51&gt;0,TEXT(FS$50,"R"&amp;0)&amp;", ","")</f>
        <v/>
      </c>
      <c r="FT22" s="13" t="str">
        <f t="shared" si="16"/>
        <v/>
      </c>
      <c r="FU22" s="13" t="str">
        <f t="shared" si="16"/>
        <v/>
      </c>
      <c r="FV22" s="13" t="str">
        <f t="shared" si="16"/>
        <v/>
      </c>
      <c r="FW22" s="13" t="str">
        <f t="shared" si="16"/>
        <v/>
      </c>
      <c r="FX22" s="13" t="str">
        <f t="shared" si="16"/>
        <v/>
      </c>
      <c r="FY22" s="13" t="str">
        <f t="shared" si="16"/>
        <v/>
      </c>
      <c r="FZ22" s="13" t="str">
        <f t="shared" si="16"/>
        <v/>
      </c>
      <c r="GA22" s="13" t="str">
        <f t="shared" si="16"/>
        <v/>
      </c>
      <c r="GB22" s="13" t="str">
        <f t="shared" si="16"/>
        <v/>
      </c>
      <c r="GC22" s="13" t="str">
        <f t="shared" si="16"/>
        <v/>
      </c>
      <c r="GD22" s="13" t="str">
        <f t="shared" si="16"/>
        <v/>
      </c>
      <c r="GE22" s="13" t="str">
        <f t="shared" si="16"/>
        <v/>
      </c>
      <c r="GF22" s="13" t="str">
        <f t="shared" si="16"/>
        <v/>
      </c>
      <c r="GG22" s="13" t="str">
        <f t="shared" si="16"/>
        <v/>
      </c>
      <c r="GH22" s="13" t="str">
        <f t="shared" si="16"/>
        <v/>
      </c>
      <c r="GI22" s="13" t="str">
        <f t="shared" si="16"/>
        <v/>
      </c>
      <c r="GJ22" s="13" t="str">
        <f t="shared" si="16"/>
        <v/>
      </c>
      <c r="GK22" s="13" t="str">
        <f t="shared" si="16"/>
        <v/>
      </c>
      <c r="GL22" s="13" t="str">
        <f t="shared" si="16"/>
        <v/>
      </c>
      <c r="GM22" s="13" t="str">
        <f t="shared" si="16"/>
        <v/>
      </c>
      <c r="GN22" s="13" t="str">
        <f t="shared" si="16"/>
        <v/>
      </c>
      <c r="GO22" s="13" t="str">
        <f t="shared" si="16"/>
        <v/>
      </c>
      <c r="GP22" s="13" t="str">
        <f t="shared" si="16"/>
        <v/>
      </c>
      <c r="GQ22" s="13" t="str">
        <f t="shared" si="16"/>
        <v/>
      </c>
      <c r="GR22" s="13" t="str">
        <f t="shared" si="16"/>
        <v/>
      </c>
      <c r="GS22" s="13" t="str">
        <f t="shared" si="16"/>
        <v/>
      </c>
      <c r="GT22" s="13" t="str">
        <f t="shared" si="16"/>
        <v/>
      </c>
      <c r="GU22" s="13" t="str">
        <f t="shared" si="16"/>
        <v/>
      </c>
      <c r="GV22" s="13" t="str">
        <f t="shared" si="16"/>
        <v/>
      </c>
      <c r="GW22" s="13" t="str">
        <f t="shared" si="16"/>
        <v/>
      </c>
      <c r="GX22" s="13" t="str">
        <f t="shared" si="16"/>
        <v/>
      </c>
      <c r="GY22" s="13" t="str">
        <f t="shared" si="16"/>
        <v/>
      </c>
      <c r="GZ22" s="13" t="str">
        <f t="shared" si="16"/>
        <v/>
      </c>
      <c r="HA22" s="13" t="str">
        <f t="shared" si="16"/>
        <v/>
      </c>
      <c r="HB22" s="13" t="str">
        <f t="shared" si="16"/>
        <v/>
      </c>
      <c r="HC22" s="13" t="str">
        <f t="shared" si="16"/>
        <v/>
      </c>
      <c r="HD22" s="13" t="str">
        <f t="shared" si="16"/>
        <v/>
      </c>
      <c r="HE22" s="13" t="str">
        <f t="shared" si="16"/>
        <v/>
      </c>
      <c r="HF22" s="13" t="str">
        <f t="shared" si="16"/>
        <v/>
      </c>
      <c r="HG22" s="13" t="str">
        <f t="shared" si="16"/>
        <v/>
      </c>
      <c r="HH22" s="13" t="str">
        <f t="shared" si="16"/>
        <v/>
      </c>
      <c r="HI22" s="13" t="str">
        <f t="shared" si="16"/>
        <v/>
      </c>
      <c r="HJ22" s="13" t="str">
        <f t="shared" si="16"/>
        <v/>
      </c>
      <c r="HK22" s="13" t="str">
        <f t="shared" si="16"/>
        <v/>
      </c>
      <c r="HL22" s="13" t="str">
        <f t="shared" si="16"/>
        <v/>
      </c>
      <c r="HM22" s="13" t="str">
        <f t="shared" si="16"/>
        <v/>
      </c>
      <c r="HN22" s="13" t="str">
        <f t="shared" si="16"/>
        <v/>
      </c>
      <c r="HO22" s="13" t="str">
        <f t="shared" si="16"/>
        <v/>
      </c>
      <c r="HP22" s="13" t="str">
        <f t="shared" si="16"/>
        <v/>
      </c>
      <c r="HQ22" s="13" t="str">
        <f t="shared" si="16"/>
        <v/>
      </c>
      <c r="HR22" s="13" t="str">
        <f t="shared" si="16"/>
        <v/>
      </c>
      <c r="HS22" s="13" t="str">
        <f t="shared" si="16"/>
        <v/>
      </c>
      <c r="HT22" s="13" t="str">
        <f t="shared" si="16"/>
        <v/>
      </c>
      <c r="HU22" s="13" t="str">
        <f t="shared" si="16"/>
        <v/>
      </c>
      <c r="HV22" s="13" t="str">
        <f t="shared" si="16"/>
        <v/>
      </c>
      <c r="HW22" s="13" t="str">
        <f t="shared" si="16"/>
        <v/>
      </c>
      <c r="HX22" s="13" t="str">
        <f t="shared" si="16"/>
        <v/>
      </c>
      <c r="HY22" s="13" t="str">
        <f t="shared" si="16"/>
        <v/>
      </c>
      <c r="HZ22" s="13" t="str">
        <f t="shared" si="16"/>
        <v/>
      </c>
      <c r="IA22" s="13" t="str">
        <f t="shared" si="16"/>
        <v/>
      </c>
      <c r="IB22" s="13" t="str">
        <f t="shared" si="16"/>
        <v/>
      </c>
      <c r="IC22" s="13" t="str">
        <f t="shared" si="16"/>
        <v/>
      </c>
      <c r="ID22" s="13" t="str">
        <f t="shared" si="16"/>
        <v/>
      </c>
      <c r="IE22" s="13" t="str">
        <f t="shared" ref="IE22:KP25" si="17">IF(IE51&gt;0,TEXT(IE$50,"R"&amp;0)&amp;", ","")</f>
        <v/>
      </c>
      <c r="IF22" s="13" t="str">
        <f t="shared" si="17"/>
        <v/>
      </c>
      <c r="IG22" s="13" t="str">
        <f t="shared" si="17"/>
        <v/>
      </c>
      <c r="IH22" s="13" t="str">
        <f t="shared" si="17"/>
        <v/>
      </c>
      <c r="II22" s="13" t="str">
        <f t="shared" si="17"/>
        <v/>
      </c>
      <c r="IJ22" s="13" t="str">
        <f t="shared" si="17"/>
        <v/>
      </c>
      <c r="IK22" s="13" t="str">
        <f t="shared" si="17"/>
        <v/>
      </c>
      <c r="IL22" s="13" t="str">
        <f t="shared" si="17"/>
        <v/>
      </c>
      <c r="IM22" s="13" t="str">
        <f t="shared" si="17"/>
        <v/>
      </c>
      <c r="IN22" s="13" t="str">
        <f t="shared" si="17"/>
        <v/>
      </c>
      <c r="IO22" s="13" t="str">
        <f t="shared" si="17"/>
        <v/>
      </c>
      <c r="IP22" s="13" t="str">
        <f t="shared" si="17"/>
        <v/>
      </c>
      <c r="IQ22" s="13" t="str">
        <f t="shared" si="17"/>
        <v/>
      </c>
      <c r="IR22" s="13" t="str">
        <f t="shared" si="17"/>
        <v/>
      </c>
      <c r="IS22" s="13" t="str">
        <f t="shared" si="17"/>
        <v/>
      </c>
      <c r="IT22" s="13" t="str">
        <f t="shared" si="17"/>
        <v/>
      </c>
      <c r="IU22" s="13" t="str">
        <f t="shared" si="17"/>
        <v/>
      </c>
      <c r="IV22" s="13" t="str">
        <f t="shared" si="17"/>
        <v/>
      </c>
      <c r="IW22" s="13" t="str">
        <f t="shared" si="17"/>
        <v/>
      </c>
      <c r="IX22" s="13" t="str">
        <f t="shared" si="17"/>
        <v/>
      </c>
      <c r="IY22" s="13" t="str">
        <f t="shared" si="17"/>
        <v/>
      </c>
      <c r="IZ22" s="13" t="str">
        <f t="shared" si="17"/>
        <v/>
      </c>
      <c r="JA22" s="13" t="str">
        <f t="shared" si="17"/>
        <v/>
      </c>
      <c r="JB22" s="13" t="str">
        <f t="shared" si="17"/>
        <v/>
      </c>
      <c r="JC22" s="13" t="str">
        <f t="shared" si="17"/>
        <v/>
      </c>
      <c r="JD22" s="13" t="str">
        <f t="shared" si="17"/>
        <v/>
      </c>
      <c r="JE22" s="13" t="str">
        <f t="shared" si="17"/>
        <v/>
      </c>
      <c r="JF22" s="13" t="str">
        <f t="shared" si="17"/>
        <v/>
      </c>
      <c r="JG22" s="13" t="str">
        <f t="shared" si="17"/>
        <v/>
      </c>
      <c r="JH22" s="13" t="str">
        <f t="shared" si="17"/>
        <v/>
      </c>
      <c r="JI22" s="13" t="str">
        <f t="shared" si="17"/>
        <v/>
      </c>
      <c r="JJ22" s="13" t="str">
        <f t="shared" si="17"/>
        <v/>
      </c>
      <c r="JK22" s="13" t="str">
        <f t="shared" si="17"/>
        <v/>
      </c>
      <c r="JL22" s="13" t="str">
        <f t="shared" si="17"/>
        <v/>
      </c>
      <c r="JM22" s="13" t="str">
        <f t="shared" si="17"/>
        <v/>
      </c>
      <c r="JN22" s="13" t="str">
        <f t="shared" si="17"/>
        <v/>
      </c>
      <c r="JO22" s="13" t="str">
        <f t="shared" si="17"/>
        <v/>
      </c>
      <c r="JP22" s="13" t="str">
        <f t="shared" si="17"/>
        <v/>
      </c>
      <c r="JQ22" s="13" t="str">
        <f t="shared" si="17"/>
        <v/>
      </c>
      <c r="JR22" s="13" t="str">
        <f t="shared" si="17"/>
        <v/>
      </c>
      <c r="JS22" s="13" t="str">
        <f t="shared" si="17"/>
        <v/>
      </c>
      <c r="JT22" s="13" t="str">
        <f t="shared" si="17"/>
        <v/>
      </c>
      <c r="JU22" s="13" t="str">
        <f t="shared" si="17"/>
        <v/>
      </c>
      <c r="JV22" s="13" t="str">
        <f t="shared" si="17"/>
        <v/>
      </c>
      <c r="JW22" s="13" t="str">
        <f t="shared" si="17"/>
        <v/>
      </c>
      <c r="JX22" s="13" t="str">
        <f t="shared" si="17"/>
        <v/>
      </c>
      <c r="JY22" s="13" t="str">
        <f t="shared" si="17"/>
        <v/>
      </c>
      <c r="JZ22" s="13" t="str">
        <f t="shared" si="17"/>
        <v/>
      </c>
      <c r="KA22" s="13" t="str">
        <f t="shared" si="17"/>
        <v/>
      </c>
      <c r="KB22" s="13" t="str">
        <f t="shared" si="17"/>
        <v/>
      </c>
      <c r="KC22" s="13" t="str">
        <f t="shared" si="17"/>
        <v/>
      </c>
      <c r="KD22" s="13" t="str">
        <f t="shared" si="17"/>
        <v/>
      </c>
      <c r="KE22" s="13" t="str">
        <f t="shared" si="17"/>
        <v/>
      </c>
      <c r="KF22" s="13" t="str">
        <f t="shared" si="17"/>
        <v/>
      </c>
      <c r="KG22" s="13" t="str">
        <f t="shared" si="17"/>
        <v/>
      </c>
      <c r="KH22" s="13" t="str">
        <f t="shared" si="17"/>
        <v/>
      </c>
      <c r="KI22" s="13" t="str">
        <f t="shared" si="17"/>
        <v/>
      </c>
      <c r="KJ22" s="13" t="str">
        <f t="shared" si="17"/>
        <v/>
      </c>
      <c r="KK22" s="13" t="str">
        <f t="shared" si="17"/>
        <v/>
      </c>
      <c r="KL22" s="13" t="str">
        <f t="shared" si="17"/>
        <v/>
      </c>
      <c r="KM22" s="13" t="str">
        <f t="shared" si="17"/>
        <v/>
      </c>
      <c r="KN22" s="13" t="str">
        <f t="shared" si="17"/>
        <v/>
      </c>
      <c r="KO22" s="13" t="str">
        <f t="shared" si="17"/>
        <v/>
      </c>
      <c r="KP22" s="13" t="str">
        <f t="shared" si="17"/>
        <v/>
      </c>
      <c r="KQ22" s="13" t="str">
        <f t="shared" ref="KQ22:MG24" si="18">IF(KQ51&gt;0,TEXT(KQ$50,"R"&amp;0)&amp;", ","")</f>
        <v/>
      </c>
      <c r="KR22" s="13" t="str">
        <f t="shared" si="18"/>
        <v/>
      </c>
      <c r="KS22" s="13" t="str">
        <f t="shared" si="18"/>
        <v/>
      </c>
      <c r="KT22" s="13" t="str">
        <f t="shared" si="18"/>
        <v/>
      </c>
      <c r="KU22" s="13" t="str">
        <f t="shared" si="18"/>
        <v/>
      </c>
      <c r="KV22" s="13" t="str">
        <f t="shared" si="18"/>
        <v/>
      </c>
      <c r="KW22" s="13" t="str">
        <f t="shared" si="18"/>
        <v/>
      </c>
      <c r="KX22" s="13" t="str">
        <f t="shared" si="18"/>
        <v/>
      </c>
      <c r="KY22" s="13" t="str">
        <f t="shared" si="18"/>
        <v/>
      </c>
      <c r="KZ22" s="13" t="str">
        <f t="shared" si="18"/>
        <v/>
      </c>
      <c r="LA22" s="13" t="str">
        <f t="shared" si="18"/>
        <v/>
      </c>
      <c r="LB22" s="13" t="str">
        <f t="shared" si="18"/>
        <v/>
      </c>
      <c r="LC22" s="13" t="str">
        <f t="shared" si="18"/>
        <v/>
      </c>
      <c r="LD22" s="13" t="str">
        <f t="shared" si="18"/>
        <v/>
      </c>
      <c r="LE22" s="13" t="str">
        <f t="shared" si="18"/>
        <v/>
      </c>
      <c r="LF22" s="13" t="str">
        <f t="shared" si="18"/>
        <v/>
      </c>
      <c r="LG22" s="13" t="str">
        <f t="shared" si="18"/>
        <v/>
      </c>
      <c r="LH22" s="13" t="str">
        <f t="shared" si="18"/>
        <v/>
      </c>
      <c r="LI22" s="13" t="str">
        <f t="shared" si="18"/>
        <v/>
      </c>
      <c r="LJ22" s="13" t="str">
        <f t="shared" si="18"/>
        <v/>
      </c>
      <c r="LK22" s="13" t="str">
        <f t="shared" si="18"/>
        <v/>
      </c>
      <c r="LL22" s="13" t="str">
        <f t="shared" si="18"/>
        <v/>
      </c>
      <c r="LM22" s="13" t="str">
        <f t="shared" si="18"/>
        <v/>
      </c>
      <c r="LN22" s="13" t="str">
        <f t="shared" si="18"/>
        <v/>
      </c>
      <c r="LO22" s="13" t="str">
        <f t="shared" si="18"/>
        <v/>
      </c>
      <c r="LP22" s="13" t="str">
        <f t="shared" si="18"/>
        <v/>
      </c>
      <c r="LQ22" s="13" t="str">
        <f t="shared" si="18"/>
        <v/>
      </c>
      <c r="LR22" s="13" t="str">
        <f t="shared" si="18"/>
        <v/>
      </c>
      <c r="LS22" s="13" t="str">
        <f t="shared" si="18"/>
        <v/>
      </c>
      <c r="LT22" s="13" t="str">
        <f t="shared" si="18"/>
        <v/>
      </c>
      <c r="LU22" s="13" t="str">
        <f t="shared" si="18"/>
        <v/>
      </c>
      <c r="LV22" s="13" t="str">
        <f t="shared" si="18"/>
        <v/>
      </c>
      <c r="LW22" s="13" t="str">
        <f t="shared" si="18"/>
        <v/>
      </c>
      <c r="LX22" s="13" t="str">
        <f t="shared" si="18"/>
        <v/>
      </c>
      <c r="LY22" s="13" t="str">
        <f t="shared" si="18"/>
        <v/>
      </c>
      <c r="LZ22" s="13" t="str">
        <f t="shared" si="18"/>
        <v/>
      </c>
      <c r="MA22" s="13" t="str">
        <f t="shared" si="18"/>
        <v/>
      </c>
      <c r="MB22" s="13" t="str">
        <f t="shared" si="18"/>
        <v/>
      </c>
      <c r="MC22" s="13" t="str">
        <f t="shared" si="18"/>
        <v/>
      </c>
      <c r="MD22" s="13" t="str">
        <f t="shared" si="18"/>
        <v/>
      </c>
      <c r="ME22" s="13" t="str">
        <f t="shared" si="18"/>
        <v/>
      </c>
      <c r="MF22" s="13" t="str">
        <f t="shared" si="18"/>
        <v/>
      </c>
      <c r="MG22" s="13" t="str">
        <f t="shared" si="18"/>
        <v/>
      </c>
    </row>
    <row r="23" spans="1:345" x14ac:dyDescent="0.2">
      <c r="A23" s="3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V23" s="8" t="str">
        <f t="shared" ref="V23:V46" si="19">IF(AP23&gt;0,LEFT(AO23,AP23-2),"")</f>
        <v>R4, R7</v>
      </c>
      <c r="W23" s="38">
        <f t="shared" si="7"/>
        <v>20</v>
      </c>
      <c r="X23" s="38">
        <f t="shared" si="8"/>
        <v>11</v>
      </c>
      <c r="Y23" s="45" t="str">
        <f t="shared" si="9"/>
        <v>2010</v>
      </c>
      <c r="Z23" s="40">
        <f t="shared" si="10"/>
        <v>20</v>
      </c>
      <c r="AA23" s="49">
        <f t="shared" si="11"/>
        <v>0</v>
      </c>
      <c r="AB23" s="40">
        <f t="shared" si="12"/>
        <v>10</v>
      </c>
      <c r="AC23" s="49">
        <f t="shared" si="13"/>
        <v>11</v>
      </c>
      <c r="AE23" s="9" t="str">
        <f t="shared" ref="AE23:AE46" si="20">CONCATENATE(AT23,AU23,AV23,AW23,AX23,AY23,AZ23,BA23,BB23,BC23,BD23,BE23,BF23,BG23,BH23,BI23,BJ23,BK23,BL23,BM23,BN23,BO23,BP23,BQ23,BR23,BS23,BT23,BU23,BV23,BW23)</f>
        <v xml:space="preserve">R4, R7, </v>
      </c>
      <c r="AF23" s="9" t="str">
        <f t="shared" ref="AF23:AF46" si="21">CONCATENATE(BX23,BY23,BZ23,CA23,CB23,CC23,CD23,CE23,CF23,CG23,CH23,CI23,CJ23,CK23,CL23,CM23,CN23,CO23,CP23,CQ23,CR23,CS23,CT23,CU23,CV23,CW23,CX23,CY23,CZ23,DA23)</f>
        <v/>
      </c>
      <c r="AG23" s="9" t="str">
        <f t="shared" ref="AG23:AG46" si="22">CONCATENATE(DB23,DC23,DD23,DE23,DF23,DG23,DH23,DI23,DJ23,DK23,DL23,DM23,DN23,DO23,DP23,DQ23,DR23,DS23,DT23,DU23,DV23,DW23,DX23,DY23,DZ23,EA23,EB23,EC23,ED23,EE23)</f>
        <v/>
      </c>
      <c r="AH23" s="9" t="str">
        <f t="shared" ref="AH23:AH46" si="23">CONCATENATE(EF23,EG23,EH23,EI23,EJ23,EK23,EL23,EM23,EN23,EO23,EP23,EQ23,ER23,ES23,ET23,EU23,EV23,EW23,EX23,EY23,EZ23,FA23,FB23,FC23,FD23,FE23,FF23,FG23,FH23,FI23)</f>
        <v/>
      </c>
      <c r="AI23" s="9" t="str">
        <f t="shared" ref="AI23:AI46" si="24">CONCATENATE(FJ23,FK23,FL23,FM23,FN23,FO23,FP23,FQ23,FR23,FS23,FT23,FU23,FV23,FW23,FX23,FY23,FZ23,GA23,GB23,GC23,GD23,GE23,GF23,GG23,GH23,GI23,GJ23,GK23,GL23,GM23)</f>
        <v/>
      </c>
      <c r="AJ23" s="9" t="str">
        <f t="shared" ref="AJ23:AJ46" si="25">CONCATENATE(GN23,GO23,GP23,GQ23,GR23,GS23,GT23,GU23,GV23,GW23,GX23,GY23,GZ23,HA23,HB23,HC23,HD23,HE23,HF23,HG23,HH23,HI23,HJ23,HK23,HL23,HM23,HN23,HO23,HP23,HQ23)</f>
        <v/>
      </c>
      <c r="AK23" s="9" t="str">
        <f t="shared" ref="AK23:AK46" si="26">CONCATENATE(HR23,HS23,HT23,HU23,HV23,HW23,HX23,HY23,HZ23,IA23,IB23,IC23,ID23,IE23,IF23,IG23,IH23,II23,IJ23,IK23,IL23,IM23,IN23,IO23,IP23,IQ23,IR23,IS23,IT23,IU23)</f>
        <v/>
      </c>
      <c r="AL23" s="9" t="str">
        <f t="shared" ref="AL23:AL46" si="27">CONCATENATE(IV23,IW23,IX23,IY23,IZ23,JA23,JB23,JC23,JD23,JE23,JF23,JG23,JH23,JI23,JJ23,JK23,JL23,JM23,JN23,JO23,JP23,JQ23,JR23,JS23,JT23,JU23,JV23,JW23,JX23,JY23)</f>
        <v/>
      </c>
      <c r="AM23" s="9" t="str">
        <f t="shared" ref="AM23:AM46" si="28">CONCATENATE(JZ23,KA23,KB23,KC23,KD23,KE23,KF23,KG23,KH23,KI23,KJ23,KK23,KL23,KM23,KN23,KO23,KP23,KQ23,KR23,KS23,KT23,KU23,KV23,KW23,KX23,KY23,KZ23,LA23,LB23,LC23)</f>
        <v/>
      </c>
      <c r="AN23" s="9" t="str">
        <f t="shared" ref="AN23:AN46" si="29">CONCATENATE(LD23,LE23,LF23,LG23,LH23,LI23,LJ23,LK23,LL23,LM23,LN23,LO23,LP23,LQ23,LR23,LS23,LT23,LU23,LV23,LW23,LX23,LY23,LZ23,MA23,MB23,MC23,MD23,ME23,MF23,MG23)</f>
        <v/>
      </c>
      <c r="AO23" s="10" t="str">
        <f t="shared" ref="AO23:AO46" si="30">CONCATENATE(AE23,AF23,AG23,AH23,AI23,AJ23,AK23,AL23,AM23,AN23)</f>
        <v xml:space="preserve">R4, R7, </v>
      </c>
      <c r="AP23" s="11">
        <f t="shared" ref="AP23:AP46" si="31">LEN(AO23)</f>
        <v>8</v>
      </c>
      <c r="AR23" s="13">
        <f>IF(AS23&lt;&gt;"",IF(AR52="",AR22,AR52),"")</f>
        <v>20</v>
      </c>
      <c r="AS23" s="13">
        <f t="shared" ref="AS23:AS34" si="32">IF(AS52&gt;0,AS52,"")</f>
        <v>10</v>
      </c>
      <c r="AT23" s="13" t="str">
        <f t="shared" ref="AT23:BI46" si="33">IF(AT52&gt;0,TEXT(AT$50,"R"&amp;0)&amp;", ","")</f>
        <v/>
      </c>
      <c r="AU23" s="13" t="str">
        <f t="shared" si="33"/>
        <v/>
      </c>
      <c r="AV23" s="13" t="str">
        <f t="shared" si="33"/>
        <v/>
      </c>
      <c r="AW23" s="13" t="str">
        <f t="shared" si="33"/>
        <v xml:space="preserve">R4, </v>
      </c>
      <c r="AX23" s="13" t="str">
        <f t="shared" si="33"/>
        <v/>
      </c>
      <c r="AY23" s="13" t="str">
        <f t="shared" si="33"/>
        <v/>
      </c>
      <c r="AZ23" s="13" t="str">
        <f t="shared" si="33"/>
        <v xml:space="preserve">R7, </v>
      </c>
      <c r="BA23" s="13" t="str">
        <f t="shared" si="33"/>
        <v/>
      </c>
      <c r="BB23" s="13" t="str">
        <f t="shared" si="33"/>
        <v/>
      </c>
      <c r="BC23" s="13" t="str">
        <f t="shared" si="33"/>
        <v/>
      </c>
      <c r="BD23" s="13" t="str">
        <f t="shared" si="33"/>
        <v/>
      </c>
      <c r="BE23" s="13" t="str">
        <f t="shared" si="33"/>
        <v/>
      </c>
      <c r="BF23" s="13" t="str">
        <f t="shared" si="33"/>
        <v/>
      </c>
      <c r="BG23" s="13" t="str">
        <f t="shared" si="33"/>
        <v/>
      </c>
      <c r="BH23" s="13" t="str">
        <f t="shared" si="33"/>
        <v/>
      </c>
      <c r="BI23" s="13" t="str">
        <f t="shared" si="33"/>
        <v/>
      </c>
      <c r="BJ23" s="13" t="str">
        <f t="shared" si="14"/>
        <v/>
      </c>
      <c r="BK23" s="13" t="str">
        <f t="shared" si="14"/>
        <v/>
      </c>
      <c r="BL23" s="13" t="str">
        <f t="shared" si="14"/>
        <v/>
      </c>
      <c r="BM23" s="13" t="str">
        <f t="shared" si="14"/>
        <v/>
      </c>
      <c r="BN23" s="13" t="str">
        <f t="shared" si="14"/>
        <v/>
      </c>
      <c r="BO23" s="13" t="str">
        <f t="shared" si="14"/>
        <v/>
      </c>
      <c r="BP23" s="13" t="str">
        <f t="shared" si="14"/>
        <v/>
      </c>
      <c r="BQ23" s="13" t="str">
        <f t="shared" si="14"/>
        <v/>
      </c>
      <c r="BR23" s="13" t="str">
        <f t="shared" si="14"/>
        <v/>
      </c>
      <c r="BS23" s="13" t="str">
        <f t="shared" si="14"/>
        <v/>
      </c>
      <c r="BT23" s="13" t="str">
        <f t="shared" si="14"/>
        <v/>
      </c>
      <c r="BU23" s="13" t="str">
        <f t="shared" si="14"/>
        <v/>
      </c>
      <c r="BV23" s="13" t="str">
        <f t="shared" si="14"/>
        <v/>
      </c>
      <c r="BW23" s="13" t="str">
        <f t="shared" si="14"/>
        <v/>
      </c>
      <c r="BX23" s="13" t="str">
        <f t="shared" si="14"/>
        <v/>
      </c>
      <c r="BY23" s="13" t="str">
        <f t="shared" si="14"/>
        <v/>
      </c>
      <c r="BZ23" s="13" t="str">
        <f t="shared" si="14"/>
        <v/>
      </c>
      <c r="CA23" s="13" t="str">
        <f t="shared" si="14"/>
        <v/>
      </c>
      <c r="CB23" s="13" t="str">
        <f t="shared" si="14"/>
        <v/>
      </c>
      <c r="CC23" s="13" t="str">
        <f t="shared" si="14"/>
        <v/>
      </c>
      <c r="CD23" s="13" t="str">
        <f t="shared" si="14"/>
        <v/>
      </c>
      <c r="CE23" s="13" t="str">
        <f t="shared" si="14"/>
        <v/>
      </c>
      <c r="CF23" s="13" t="str">
        <f t="shared" si="14"/>
        <v/>
      </c>
      <c r="CG23" s="13" t="str">
        <f t="shared" si="14"/>
        <v/>
      </c>
      <c r="CH23" s="13" t="str">
        <f t="shared" si="14"/>
        <v/>
      </c>
      <c r="CI23" s="13" t="str">
        <f t="shared" si="14"/>
        <v/>
      </c>
      <c r="CJ23" s="13" t="str">
        <f t="shared" si="14"/>
        <v/>
      </c>
      <c r="CK23" s="13" t="str">
        <f t="shared" si="14"/>
        <v/>
      </c>
      <c r="CL23" s="13" t="str">
        <f t="shared" si="14"/>
        <v/>
      </c>
      <c r="CM23" s="13" t="str">
        <f t="shared" si="14"/>
        <v/>
      </c>
      <c r="CN23" s="13" t="str">
        <f t="shared" si="14"/>
        <v/>
      </c>
      <c r="CO23" s="13" t="str">
        <f t="shared" si="14"/>
        <v/>
      </c>
      <c r="CP23" s="13" t="str">
        <f t="shared" si="14"/>
        <v/>
      </c>
      <c r="CQ23" s="13" t="str">
        <f t="shared" si="14"/>
        <v/>
      </c>
      <c r="CR23" s="13" t="str">
        <f t="shared" si="14"/>
        <v/>
      </c>
      <c r="CS23" s="13" t="str">
        <f t="shared" si="14"/>
        <v/>
      </c>
      <c r="CT23" s="13" t="str">
        <f t="shared" si="14"/>
        <v/>
      </c>
      <c r="CU23" s="13" t="str">
        <f t="shared" si="14"/>
        <v/>
      </c>
      <c r="CV23" s="13" t="str">
        <f t="shared" si="14"/>
        <v/>
      </c>
      <c r="CW23" s="13" t="str">
        <f t="shared" si="14"/>
        <v/>
      </c>
      <c r="CX23" s="13" t="str">
        <f t="shared" si="14"/>
        <v/>
      </c>
      <c r="CY23" s="13" t="str">
        <f t="shared" si="14"/>
        <v/>
      </c>
      <c r="CZ23" s="13" t="str">
        <f t="shared" si="14"/>
        <v/>
      </c>
      <c r="DA23" s="13" t="str">
        <f t="shared" si="14"/>
        <v/>
      </c>
      <c r="DB23" s="13" t="str">
        <f t="shared" si="14"/>
        <v/>
      </c>
      <c r="DC23" s="13" t="str">
        <f t="shared" si="14"/>
        <v/>
      </c>
      <c r="DD23" s="13" t="str">
        <f t="shared" si="14"/>
        <v/>
      </c>
      <c r="DE23" s="13" t="str">
        <f t="shared" si="14"/>
        <v/>
      </c>
      <c r="DF23" s="13" t="str">
        <f t="shared" si="14"/>
        <v/>
      </c>
      <c r="DG23" s="13" t="str">
        <f t="shared" si="15"/>
        <v/>
      </c>
      <c r="DH23" s="13" t="str">
        <f t="shared" si="15"/>
        <v/>
      </c>
      <c r="DI23" s="13" t="str">
        <f t="shared" si="15"/>
        <v/>
      </c>
      <c r="DJ23" s="13" t="str">
        <f t="shared" si="15"/>
        <v/>
      </c>
      <c r="DK23" s="13" t="str">
        <f t="shared" si="15"/>
        <v/>
      </c>
      <c r="DL23" s="13" t="str">
        <f t="shared" si="15"/>
        <v/>
      </c>
      <c r="DM23" s="13" t="str">
        <f t="shared" si="15"/>
        <v/>
      </c>
      <c r="DN23" s="13" t="str">
        <f t="shared" si="15"/>
        <v/>
      </c>
      <c r="DO23" s="13" t="str">
        <f t="shared" si="15"/>
        <v/>
      </c>
      <c r="DP23" s="13" t="str">
        <f t="shared" si="15"/>
        <v/>
      </c>
      <c r="DQ23" s="13" t="str">
        <f t="shared" si="15"/>
        <v/>
      </c>
      <c r="DR23" s="13" t="str">
        <f t="shared" si="15"/>
        <v/>
      </c>
      <c r="DS23" s="13" t="str">
        <f t="shared" si="15"/>
        <v/>
      </c>
      <c r="DT23" s="13" t="str">
        <f t="shared" si="15"/>
        <v/>
      </c>
      <c r="DU23" s="13" t="str">
        <f t="shared" si="15"/>
        <v/>
      </c>
      <c r="DV23" s="13" t="str">
        <f t="shared" si="15"/>
        <v/>
      </c>
      <c r="DW23" s="13" t="str">
        <f t="shared" si="15"/>
        <v/>
      </c>
      <c r="DX23" s="13" t="str">
        <f t="shared" si="15"/>
        <v/>
      </c>
      <c r="DY23" s="13" t="str">
        <f t="shared" si="15"/>
        <v/>
      </c>
      <c r="DZ23" s="13" t="str">
        <f t="shared" si="15"/>
        <v/>
      </c>
      <c r="EA23" s="13" t="str">
        <f t="shared" si="15"/>
        <v/>
      </c>
      <c r="EB23" s="13" t="str">
        <f t="shared" si="15"/>
        <v/>
      </c>
      <c r="EC23" s="13" t="str">
        <f t="shared" si="15"/>
        <v/>
      </c>
      <c r="ED23" s="13" t="str">
        <f t="shared" si="15"/>
        <v/>
      </c>
      <c r="EE23" s="13" t="str">
        <f t="shared" si="15"/>
        <v/>
      </c>
      <c r="EF23" s="13" t="str">
        <f t="shared" si="15"/>
        <v/>
      </c>
      <c r="EG23" s="13" t="str">
        <f t="shared" si="15"/>
        <v/>
      </c>
      <c r="EH23" s="13" t="str">
        <f t="shared" si="15"/>
        <v/>
      </c>
      <c r="EI23" s="13" t="str">
        <f t="shared" si="15"/>
        <v/>
      </c>
      <c r="EJ23" s="13" t="str">
        <f t="shared" si="15"/>
        <v/>
      </c>
      <c r="EK23" s="13" t="str">
        <f t="shared" si="15"/>
        <v/>
      </c>
      <c r="EL23" s="13" t="str">
        <f t="shared" si="15"/>
        <v/>
      </c>
      <c r="EM23" s="13" t="str">
        <f t="shared" si="15"/>
        <v/>
      </c>
      <c r="EN23" s="13" t="str">
        <f t="shared" si="15"/>
        <v/>
      </c>
      <c r="EO23" s="13" t="str">
        <f t="shared" si="15"/>
        <v/>
      </c>
      <c r="EP23" s="13" t="str">
        <f t="shared" si="15"/>
        <v/>
      </c>
      <c r="EQ23" s="13" t="str">
        <f t="shared" si="15"/>
        <v/>
      </c>
      <c r="ER23" s="13" t="str">
        <f t="shared" si="15"/>
        <v/>
      </c>
      <c r="ES23" s="13" t="str">
        <f t="shared" si="15"/>
        <v/>
      </c>
      <c r="ET23" s="13" t="str">
        <f t="shared" si="15"/>
        <v/>
      </c>
      <c r="EU23" s="13" t="str">
        <f t="shared" si="15"/>
        <v/>
      </c>
      <c r="EV23" s="13" t="str">
        <f t="shared" si="15"/>
        <v/>
      </c>
      <c r="EW23" s="13" t="str">
        <f t="shared" si="15"/>
        <v/>
      </c>
      <c r="EX23" s="13" t="str">
        <f t="shared" si="15"/>
        <v/>
      </c>
      <c r="EY23" s="13" t="str">
        <f t="shared" si="15"/>
        <v/>
      </c>
      <c r="EZ23" s="13" t="str">
        <f t="shared" si="15"/>
        <v/>
      </c>
      <c r="FA23" s="13" t="str">
        <f t="shared" si="15"/>
        <v/>
      </c>
      <c r="FB23" s="13" t="str">
        <f t="shared" si="15"/>
        <v/>
      </c>
      <c r="FC23" s="13" t="str">
        <f t="shared" si="15"/>
        <v/>
      </c>
      <c r="FD23" s="13" t="str">
        <f t="shared" si="15"/>
        <v/>
      </c>
      <c r="FE23" s="13" t="str">
        <f t="shared" si="15"/>
        <v/>
      </c>
      <c r="FF23" s="13" t="str">
        <f t="shared" si="15"/>
        <v/>
      </c>
      <c r="FG23" s="13" t="str">
        <f t="shared" si="15"/>
        <v/>
      </c>
      <c r="FH23" s="13" t="str">
        <f t="shared" si="15"/>
        <v/>
      </c>
      <c r="FI23" s="13" t="str">
        <f t="shared" si="15"/>
        <v/>
      </c>
      <c r="FJ23" s="13" t="str">
        <f t="shared" si="15"/>
        <v/>
      </c>
      <c r="FK23" s="13" t="str">
        <f t="shared" si="15"/>
        <v/>
      </c>
      <c r="FL23" s="13" t="str">
        <f t="shared" si="15"/>
        <v/>
      </c>
      <c r="FM23" s="13" t="str">
        <f t="shared" si="15"/>
        <v/>
      </c>
      <c r="FN23" s="13" t="str">
        <f t="shared" si="15"/>
        <v/>
      </c>
      <c r="FO23" s="13" t="str">
        <f t="shared" si="15"/>
        <v/>
      </c>
      <c r="FP23" s="13" t="str">
        <f t="shared" si="15"/>
        <v/>
      </c>
      <c r="FQ23" s="13" t="str">
        <f t="shared" si="15"/>
        <v/>
      </c>
      <c r="FR23" s="13" t="str">
        <f t="shared" si="15"/>
        <v/>
      </c>
      <c r="FS23" s="13" t="str">
        <f t="shared" si="16"/>
        <v/>
      </c>
      <c r="FT23" s="13" t="str">
        <f t="shared" si="16"/>
        <v/>
      </c>
      <c r="FU23" s="13" t="str">
        <f t="shared" si="16"/>
        <v/>
      </c>
      <c r="FV23" s="13" t="str">
        <f t="shared" si="16"/>
        <v/>
      </c>
      <c r="FW23" s="13" t="str">
        <f t="shared" si="16"/>
        <v/>
      </c>
      <c r="FX23" s="13" t="str">
        <f t="shared" si="16"/>
        <v/>
      </c>
      <c r="FY23" s="13" t="str">
        <f t="shared" si="16"/>
        <v/>
      </c>
      <c r="FZ23" s="13" t="str">
        <f t="shared" si="16"/>
        <v/>
      </c>
      <c r="GA23" s="13" t="str">
        <f t="shared" si="16"/>
        <v/>
      </c>
      <c r="GB23" s="13" t="str">
        <f t="shared" si="16"/>
        <v/>
      </c>
      <c r="GC23" s="13" t="str">
        <f t="shared" si="16"/>
        <v/>
      </c>
      <c r="GD23" s="13" t="str">
        <f t="shared" si="16"/>
        <v/>
      </c>
      <c r="GE23" s="13" t="str">
        <f t="shared" si="16"/>
        <v/>
      </c>
      <c r="GF23" s="13" t="str">
        <f t="shared" si="16"/>
        <v/>
      </c>
      <c r="GG23" s="13" t="str">
        <f t="shared" si="16"/>
        <v/>
      </c>
      <c r="GH23" s="13" t="str">
        <f t="shared" si="16"/>
        <v/>
      </c>
      <c r="GI23" s="13" t="str">
        <f t="shared" si="16"/>
        <v/>
      </c>
      <c r="GJ23" s="13" t="str">
        <f t="shared" si="16"/>
        <v/>
      </c>
      <c r="GK23" s="13" t="str">
        <f t="shared" si="16"/>
        <v/>
      </c>
      <c r="GL23" s="13" t="str">
        <f t="shared" si="16"/>
        <v/>
      </c>
      <c r="GM23" s="13" t="str">
        <f t="shared" si="16"/>
        <v/>
      </c>
      <c r="GN23" s="13" t="str">
        <f t="shared" si="16"/>
        <v/>
      </c>
      <c r="GO23" s="13" t="str">
        <f t="shared" si="16"/>
        <v/>
      </c>
      <c r="GP23" s="13" t="str">
        <f t="shared" si="16"/>
        <v/>
      </c>
      <c r="GQ23" s="13" t="str">
        <f t="shared" si="16"/>
        <v/>
      </c>
      <c r="GR23" s="13" t="str">
        <f t="shared" si="16"/>
        <v/>
      </c>
      <c r="GS23" s="13" t="str">
        <f t="shared" si="16"/>
        <v/>
      </c>
      <c r="GT23" s="13" t="str">
        <f t="shared" si="16"/>
        <v/>
      </c>
      <c r="GU23" s="13" t="str">
        <f t="shared" si="16"/>
        <v/>
      </c>
      <c r="GV23" s="13" t="str">
        <f t="shared" si="16"/>
        <v/>
      </c>
      <c r="GW23" s="13" t="str">
        <f t="shared" si="16"/>
        <v/>
      </c>
      <c r="GX23" s="13" t="str">
        <f t="shared" si="16"/>
        <v/>
      </c>
      <c r="GY23" s="13" t="str">
        <f t="shared" si="16"/>
        <v/>
      </c>
      <c r="GZ23" s="13" t="str">
        <f t="shared" si="16"/>
        <v/>
      </c>
      <c r="HA23" s="13" t="str">
        <f t="shared" si="16"/>
        <v/>
      </c>
      <c r="HB23" s="13" t="str">
        <f t="shared" si="16"/>
        <v/>
      </c>
      <c r="HC23" s="13" t="str">
        <f t="shared" si="16"/>
        <v/>
      </c>
      <c r="HD23" s="13" t="str">
        <f t="shared" si="16"/>
        <v/>
      </c>
      <c r="HE23" s="13" t="str">
        <f t="shared" si="16"/>
        <v/>
      </c>
      <c r="HF23" s="13" t="str">
        <f t="shared" si="16"/>
        <v/>
      </c>
      <c r="HG23" s="13" t="str">
        <f t="shared" si="16"/>
        <v/>
      </c>
      <c r="HH23" s="13" t="str">
        <f t="shared" si="16"/>
        <v/>
      </c>
      <c r="HI23" s="13" t="str">
        <f t="shared" si="16"/>
        <v/>
      </c>
      <c r="HJ23" s="13" t="str">
        <f t="shared" si="16"/>
        <v/>
      </c>
      <c r="HK23" s="13" t="str">
        <f t="shared" si="16"/>
        <v/>
      </c>
      <c r="HL23" s="13" t="str">
        <f t="shared" si="16"/>
        <v/>
      </c>
      <c r="HM23" s="13" t="str">
        <f t="shared" si="16"/>
        <v/>
      </c>
      <c r="HN23" s="13" t="str">
        <f t="shared" si="16"/>
        <v/>
      </c>
      <c r="HO23" s="13" t="str">
        <f t="shared" si="16"/>
        <v/>
      </c>
      <c r="HP23" s="13" t="str">
        <f t="shared" si="16"/>
        <v/>
      </c>
      <c r="HQ23" s="13" t="str">
        <f t="shared" si="16"/>
        <v/>
      </c>
      <c r="HR23" s="13" t="str">
        <f t="shared" si="16"/>
        <v/>
      </c>
      <c r="HS23" s="13" t="str">
        <f t="shared" si="16"/>
        <v/>
      </c>
      <c r="HT23" s="13" t="str">
        <f t="shared" si="16"/>
        <v/>
      </c>
      <c r="HU23" s="13" t="str">
        <f t="shared" si="16"/>
        <v/>
      </c>
      <c r="HV23" s="13" t="str">
        <f t="shared" si="16"/>
        <v/>
      </c>
      <c r="HW23" s="13" t="str">
        <f t="shared" si="16"/>
        <v/>
      </c>
      <c r="HX23" s="13" t="str">
        <f t="shared" si="16"/>
        <v/>
      </c>
      <c r="HY23" s="13" t="str">
        <f t="shared" si="16"/>
        <v/>
      </c>
      <c r="HZ23" s="13" t="str">
        <f t="shared" si="16"/>
        <v/>
      </c>
      <c r="IA23" s="13" t="str">
        <f t="shared" si="16"/>
        <v/>
      </c>
      <c r="IB23" s="13" t="str">
        <f t="shared" si="16"/>
        <v/>
      </c>
      <c r="IC23" s="13" t="str">
        <f t="shared" si="16"/>
        <v/>
      </c>
      <c r="ID23" s="13" t="str">
        <f t="shared" si="16"/>
        <v/>
      </c>
      <c r="IE23" s="13" t="str">
        <f t="shared" si="17"/>
        <v/>
      </c>
      <c r="IF23" s="13" t="str">
        <f t="shared" si="17"/>
        <v/>
      </c>
      <c r="IG23" s="13" t="str">
        <f t="shared" si="17"/>
        <v/>
      </c>
      <c r="IH23" s="13" t="str">
        <f t="shared" si="17"/>
        <v/>
      </c>
      <c r="II23" s="13" t="str">
        <f t="shared" si="17"/>
        <v/>
      </c>
      <c r="IJ23" s="13" t="str">
        <f t="shared" si="17"/>
        <v/>
      </c>
      <c r="IK23" s="13" t="str">
        <f t="shared" si="17"/>
        <v/>
      </c>
      <c r="IL23" s="13" t="str">
        <f t="shared" si="17"/>
        <v/>
      </c>
      <c r="IM23" s="13" t="str">
        <f t="shared" si="17"/>
        <v/>
      </c>
      <c r="IN23" s="13" t="str">
        <f t="shared" si="17"/>
        <v/>
      </c>
      <c r="IO23" s="13" t="str">
        <f t="shared" si="17"/>
        <v/>
      </c>
      <c r="IP23" s="13" t="str">
        <f t="shared" si="17"/>
        <v/>
      </c>
      <c r="IQ23" s="13" t="str">
        <f t="shared" si="17"/>
        <v/>
      </c>
      <c r="IR23" s="13" t="str">
        <f t="shared" si="17"/>
        <v/>
      </c>
      <c r="IS23" s="13" t="str">
        <f t="shared" si="17"/>
        <v/>
      </c>
      <c r="IT23" s="13" t="str">
        <f t="shared" si="17"/>
        <v/>
      </c>
      <c r="IU23" s="13" t="str">
        <f t="shared" si="17"/>
        <v/>
      </c>
      <c r="IV23" s="13" t="str">
        <f t="shared" si="17"/>
        <v/>
      </c>
      <c r="IW23" s="13" t="str">
        <f t="shared" si="17"/>
        <v/>
      </c>
      <c r="IX23" s="13" t="str">
        <f t="shared" si="17"/>
        <v/>
      </c>
      <c r="IY23" s="13" t="str">
        <f t="shared" si="17"/>
        <v/>
      </c>
      <c r="IZ23" s="13" t="str">
        <f t="shared" si="17"/>
        <v/>
      </c>
      <c r="JA23" s="13" t="str">
        <f t="shared" si="17"/>
        <v/>
      </c>
      <c r="JB23" s="13" t="str">
        <f t="shared" si="17"/>
        <v/>
      </c>
      <c r="JC23" s="13" t="str">
        <f t="shared" si="17"/>
        <v/>
      </c>
      <c r="JD23" s="13" t="str">
        <f t="shared" si="17"/>
        <v/>
      </c>
      <c r="JE23" s="13" t="str">
        <f t="shared" si="17"/>
        <v/>
      </c>
      <c r="JF23" s="13" t="str">
        <f t="shared" si="17"/>
        <v/>
      </c>
      <c r="JG23" s="13" t="str">
        <f t="shared" si="17"/>
        <v/>
      </c>
      <c r="JH23" s="13" t="str">
        <f t="shared" si="17"/>
        <v/>
      </c>
      <c r="JI23" s="13" t="str">
        <f t="shared" si="17"/>
        <v/>
      </c>
      <c r="JJ23" s="13" t="str">
        <f t="shared" si="17"/>
        <v/>
      </c>
      <c r="JK23" s="13" t="str">
        <f t="shared" si="17"/>
        <v/>
      </c>
      <c r="JL23" s="13" t="str">
        <f t="shared" si="17"/>
        <v/>
      </c>
      <c r="JM23" s="13" t="str">
        <f t="shared" si="17"/>
        <v/>
      </c>
      <c r="JN23" s="13" t="str">
        <f t="shared" si="17"/>
        <v/>
      </c>
      <c r="JO23" s="13" t="str">
        <f t="shared" si="17"/>
        <v/>
      </c>
      <c r="JP23" s="13" t="str">
        <f t="shared" si="17"/>
        <v/>
      </c>
      <c r="JQ23" s="13" t="str">
        <f t="shared" si="17"/>
        <v/>
      </c>
      <c r="JR23" s="13" t="str">
        <f t="shared" si="17"/>
        <v/>
      </c>
      <c r="JS23" s="13" t="str">
        <f t="shared" si="17"/>
        <v/>
      </c>
      <c r="JT23" s="13" t="str">
        <f t="shared" si="17"/>
        <v/>
      </c>
      <c r="JU23" s="13" t="str">
        <f t="shared" si="17"/>
        <v/>
      </c>
      <c r="JV23" s="13" t="str">
        <f t="shared" si="17"/>
        <v/>
      </c>
      <c r="JW23" s="13" t="str">
        <f t="shared" si="17"/>
        <v/>
      </c>
      <c r="JX23" s="13" t="str">
        <f t="shared" si="17"/>
        <v/>
      </c>
      <c r="JY23" s="13" t="str">
        <f t="shared" si="17"/>
        <v/>
      </c>
      <c r="JZ23" s="13" t="str">
        <f t="shared" si="17"/>
        <v/>
      </c>
      <c r="KA23" s="13" t="str">
        <f t="shared" si="17"/>
        <v/>
      </c>
      <c r="KB23" s="13" t="str">
        <f t="shared" si="17"/>
        <v/>
      </c>
      <c r="KC23" s="13" t="str">
        <f t="shared" si="17"/>
        <v/>
      </c>
      <c r="KD23" s="13" t="str">
        <f t="shared" si="17"/>
        <v/>
      </c>
      <c r="KE23" s="13" t="str">
        <f t="shared" si="17"/>
        <v/>
      </c>
      <c r="KF23" s="13" t="str">
        <f t="shared" si="17"/>
        <v/>
      </c>
      <c r="KG23" s="13" t="str">
        <f t="shared" si="17"/>
        <v/>
      </c>
      <c r="KH23" s="13" t="str">
        <f t="shared" si="17"/>
        <v/>
      </c>
      <c r="KI23" s="13" t="str">
        <f t="shared" si="17"/>
        <v/>
      </c>
      <c r="KJ23" s="13" t="str">
        <f t="shared" si="17"/>
        <v/>
      </c>
      <c r="KK23" s="13" t="str">
        <f t="shared" si="17"/>
        <v/>
      </c>
      <c r="KL23" s="13" t="str">
        <f t="shared" si="17"/>
        <v/>
      </c>
      <c r="KM23" s="13" t="str">
        <f t="shared" si="17"/>
        <v/>
      </c>
      <c r="KN23" s="13" t="str">
        <f t="shared" si="17"/>
        <v/>
      </c>
      <c r="KO23" s="13" t="str">
        <f t="shared" si="17"/>
        <v/>
      </c>
      <c r="KP23" s="13" t="str">
        <f t="shared" si="17"/>
        <v/>
      </c>
      <c r="KQ23" s="13" t="str">
        <f t="shared" si="18"/>
        <v/>
      </c>
      <c r="KR23" s="13" t="str">
        <f t="shared" si="18"/>
        <v/>
      </c>
      <c r="KS23" s="13" t="str">
        <f t="shared" si="18"/>
        <v/>
      </c>
      <c r="KT23" s="13" t="str">
        <f t="shared" si="18"/>
        <v/>
      </c>
      <c r="KU23" s="13" t="str">
        <f t="shared" si="18"/>
        <v/>
      </c>
      <c r="KV23" s="13" t="str">
        <f t="shared" si="18"/>
        <v/>
      </c>
      <c r="KW23" s="13" t="str">
        <f t="shared" si="18"/>
        <v/>
      </c>
      <c r="KX23" s="13" t="str">
        <f t="shared" si="18"/>
        <v/>
      </c>
      <c r="KY23" s="13" t="str">
        <f t="shared" si="18"/>
        <v/>
      </c>
      <c r="KZ23" s="13" t="str">
        <f t="shared" si="18"/>
        <v/>
      </c>
      <c r="LA23" s="13" t="str">
        <f t="shared" si="18"/>
        <v/>
      </c>
      <c r="LB23" s="13" t="str">
        <f t="shared" si="18"/>
        <v/>
      </c>
      <c r="LC23" s="13" t="str">
        <f t="shared" si="18"/>
        <v/>
      </c>
      <c r="LD23" s="13" t="str">
        <f t="shared" si="18"/>
        <v/>
      </c>
      <c r="LE23" s="13" t="str">
        <f t="shared" si="18"/>
        <v/>
      </c>
      <c r="LF23" s="13" t="str">
        <f t="shared" si="18"/>
        <v/>
      </c>
      <c r="LG23" s="13" t="str">
        <f t="shared" si="18"/>
        <v/>
      </c>
      <c r="LH23" s="13" t="str">
        <f t="shared" si="18"/>
        <v/>
      </c>
      <c r="LI23" s="13" t="str">
        <f t="shared" si="18"/>
        <v/>
      </c>
      <c r="LJ23" s="13" t="str">
        <f t="shared" si="18"/>
        <v/>
      </c>
      <c r="LK23" s="13" t="str">
        <f t="shared" si="18"/>
        <v/>
      </c>
      <c r="LL23" s="13" t="str">
        <f t="shared" si="18"/>
        <v/>
      </c>
      <c r="LM23" s="13" t="str">
        <f t="shared" si="18"/>
        <v/>
      </c>
      <c r="LN23" s="13" t="str">
        <f t="shared" si="18"/>
        <v/>
      </c>
      <c r="LO23" s="13" t="str">
        <f t="shared" si="18"/>
        <v/>
      </c>
      <c r="LP23" s="13" t="str">
        <f t="shared" si="18"/>
        <v/>
      </c>
      <c r="LQ23" s="13" t="str">
        <f t="shared" si="18"/>
        <v/>
      </c>
      <c r="LR23" s="13" t="str">
        <f t="shared" si="18"/>
        <v/>
      </c>
      <c r="LS23" s="13" t="str">
        <f t="shared" si="18"/>
        <v/>
      </c>
      <c r="LT23" s="13" t="str">
        <f t="shared" si="18"/>
        <v/>
      </c>
      <c r="LU23" s="13" t="str">
        <f t="shared" si="18"/>
        <v/>
      </c>
      <c r="LV23" s="13" t="str">
        <f t="shared" si="18"/>
        <v/>
      </c>
      <c r="LW23" s="13" t="str">
        <f t="shared" si="18"/>
        <v/>
      </c>
      <c r="LX23" s="13" t="str">
        <f t="shared" si="18"/>
        <v/>
      </c>
      <c r="LY23" s="13" t="str">
        <f t="shared" si="18"/>
        <v/>
      </c>
      <c r="LZ23" s="13" t="str">
        <f t="shared" si="18"/>
        <v/>
      </c>
      <c r="MA23" s="13" t="str">
        <f t="shared" si="18"/>
        <v/>
      </c>
      <c r="MB23" s="13" t="str">
        <f t="shared" si="18"/>
        <v/>
      </c>
      <c r="MC23" s="13" t="str">
        <f t="shared" si="18"/>
        <v/>
      </c>
      <c r="MD23" s="13" t="str">
        <f t="shared" si="18"/>
        <v/>
      </c>
      <c r="ME23" s="13" t="str">
        <f t="shared" si="18"/>
        <v/>
      </c>
      <c r="MF23" s="13" t="str">
        <f t="shared" si="18"/>
        <v/>
      </c>
      <c r="MG23" s="13" t="str">
        <f t="shared" si="18"/>
        <v/>
      </c>
    </row>
    <row r="24" spans="1:345" x14ac:dyDescent="0.2">
      <c r="A24" s="32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V24" s="8" t="str">
        <f t="shared" si="19"/>
        <v>R5, R8</v>
      </c>
      <c r="W24" s="38">
        <f t="shared" si="7"/>
        <v>30</v>
      </c>
      <c r="X24" s="38">
        <f t="shared" si="8"/>
        <v>10</v>
      </c>
      <c r="Y24" s="45" t="str">
        <f t="shared" si="9"/>
        <v>3010</v>
      </c>
      <c r="Z24" s="40">
        <f t="shared" si="10"/>
        <v>30</v>
      </c>
      <c r="AA24" s="49">
        <f t="shared" si="11"/>
        <v>0</v>
      </c>
      <c r="AB24" s="40">
        <f t="shared" si="12"/>
        <v>10</v>
      </c>
      <c r="AC24" s="49">
        <f t="shared" si="13"/>
        <v>0</v>
      </c>
      <c r="AE24" s="9" t="str">
        <f t="shared" si="20"/>
        <v xml:space="preserve">R5, R8, </v>
      </c>
      <c r="AF24" s="9" t="str">
        <f t="shared" si="21"/>
        <v/>
      </c>
      <c r="AG24" s="9" t="str">
        <f t="shared" si="22"/>
        <v/>
      </c>
      <c r="AH24" s="9" t="str">
        <f t="shared" si="23"/>
        <v/>
      </c>
      <c r="AI24" s="9" t="str">
        <f t="shared" si="24"/>
        <v/>
      </c>
      <c r="AJ24" s="9" t="str">
        <f t="shared" si="25"/>
        <v/>
      </c>
      <c r="AK24" s="9" t="str">
        <f t="shared" si="26"/>
        <v/>
      </c>
      <c r="AL24" s="9" t="str">
        <f t="shared" si="27"/>
        <v/>
      </c>
      <c r="AM24" s="9" t="str">
        <f t="shared" si="28"/>
        <v/>
      </c>
      <c r="AN24" s="9" t="str">
        <f t="shared" si="29"/>
        <v/>
      </c>
      <c r="AO24" s="10" t="str">
        <f t="shared" si="30"/>
        <v xml:space="preserve">R5, R8, </v>
      </c>
      <c r="AP24" s="11">
        <f t="shared" si="31"/>
        <v>8</v>
      </c>
      <c r="AR24" s="13">
        <f t="shared" ref="AR24:AR34" si="34">IF(AS24&lt;&gt;"",IF(AR53="",AR23,AR53),"")</f>
        <v>30</v>
      </c>
      <c r="AS24" s="13">
        <f t="shared" si="32"/>
        <v>10</v>
      </c>
      <c r="AT24" s="13" t="str">
        <f t="shared" si="33"/>
        <v/>
      </c>
      <c r="AU24" s="13" t="str">
        <f t="shared" ref="AU24:DF27" si="35">IF(AU53&gt;0,TEXT(AU$50,"R"&amp;0)&amp;", ","")</f>
        <v/>
      </c>
      <c r="AV24" s="13" t="str">
        <f t="shared" si="35"/>
        <v/>
      </c>
      <c r="AW24" s="13" t="str">
        <f t="shared" si="35"/>
        <v/>
      </c>
      <c r="AX24" s="13" t="str">
        <f t="shared" si="35"/>
        <v xml:space="preserve">R5, </v>
      </c>
      <c r="AY24" s="13" t="str">
        <f t="shared" si="35"/>
        <v/>
      </c>
      <c r="AZ24" s="13" t="str">
        <f t="shared" si="35"/>
        <v/>
      </c>
      <c r="BA24" s="13" t="str">
        <f t="shared" si="35"/>
        <v xml:space="preserve">R8, </v>
      </c>
      <c r="BB24" s="13" t="str">
        <f t="shared" si="35"/>
        <v/>
      </c>
      <c r="BC24" s="13" t="str">
        <f t="shared" si="35"/>
        <v/>
      </c>
      <c r="BD24" s="13" t="str">
        <f t="shared" si="35"/>
        <v/>
      </c>
      <c r="BE24" s="13" t="str">
        <f t="shared" si="35"/>
        <v/>
      </c>
      <c r="BF24" s="13" t="str">
        <f t="shared" si="35"/>
        <v/>
      </c>
      <c r="BG24" s="13" t="str">
        <f t="shared" si="35"/>
        <v/>
      </c>
      <c r="BH24" s="13" t="str">
        <f t="shared" si="35"/>
        <v/>
      </c>
      <c r="BI24" s="13" t="str">
        <f t="shared" si="35"/>
        <v/>
      </c>
      <c r="BJ24" s="13" t="str">
        <f t="shared" si="35"/>
        <v/>
      </c>
      <c r="BK24" s="13" t="str">
        <f t="shared" si="35"/>
        <v/>
      </c>
      <c r="BL24" s="13" t="str">
        <f t="shared" si="35"/>
        <v/>
      </c>
      <c r="BM24" s="13" t="str">
        <f t="shared" si="35"/>
        <v/>
      </c>
      <c r="BN24" s="13" t="str">
        <f t="shared" si="35"/>
        <v/>
      </c>
      <c r="BO24" s="13" t="str">
        <f t="shared" si="35"/>
        <v/>
      </c>
      <c r="BP24" s="13" t="str">
        <f t="shared" si="35"/>
        <v/>
      </c>
      <c r="BQ24" s="13" t="str">
        <f t="shared" si="35"/>
        <v/>
      </c>
      <c r="BR24" s="13" t="str">
        <f t="shared" si="35"/>
        <v/>
      </c>
      <c r="BS24" s="13" t="str">
        <f t="shared" si="35"/>
        <v/>
      </c>
      <c r="BT24" s="13" t="str">
        <f t="shared" si="35"/>
        <v/>
      </c>
      <c r="BU24" s="13" t="str">
        <f t="shared" si="35"/>
        <v/>
      </c>
      <c r="BV24" s="13" t="str">
        <f t="shared" si="35"/>
        <v/>
      </c>
      <c r="BW24" s="13" t="str">
        <f t="shared" si="35"/>
        <v/>
      </c>
      <c r="BX24" s="13" t="str">
        <f t="shared" si="35"/>
        <v/>
      </c>
      <c r="BY24" s="13" t="str">
        <f t="shared" si="35"/>
        <v/>
      </c>
      <c r="BZ24" s="13" t="str">
        <f t="shared" si="35"/>
        <v/>
      </c>
      <c r="CA24" s="13" t="str">
        <f t="shared" si="35"/>
        <v/>
      </c>
      <c r="CB24" s="13" t="str">
        <f t="shared" si="35"/>
        <v/>
      </c>
      <c r="CC24" s="13" t="str">
        <f t="shared" si="35"/>
        <v/>
      </c>
      <c r="CD24" s="13" t="str">
        <f t="shared" si="35"/>
        <v/>
      </c>
      <c r="CE24" s="13" t="str">
        <f t="shared" si="35"/>
        <v/>
      </c>
      <c r="CF24" s="13" t="str">
        <f t="shared" si="35"/>
        <v/>
      </c>
      <c r="CG24" s="13" t="str">
        <f t="shared" si="35"/>
        <v/>
      </c>
      <c r="CH24" s="13" t="str">
        <f t="shared" si="35"/>
        <v/>
      </c>
      <c r="CI24" s="13" t="str">
        <f t="shared" si="35"/>
        <v/>
      </c>
      <c r="CJ24" s="13" t="str">
        <f t="shared" si="35"/>
        <v/>
      </c>
      <c r="CK24" s="13" t="str">
        <f t="shared" si="35"/>
        <v/>
      </c>
      <c r="CL24" s="13" t="str">
        <f t="shared" si="35"/>
        <v/>
      </c>
      <c r="CM24" s="13" t="str">
        <f t="shared" si="35"/>
        <v/>
      </c>
      <c r="CN24" s="13" t="str">
        <f t="shared" si="35"/>
        <v/>
      </c>
      <c r="CO24" s="13" t="str">
        <f t="shared" si="35"/>
        <v/>
      </c>
      <c r="CP24" s="13" t="str">
        <f t="shared" si="35"/>
        <v/>
      </c>
      <c r="CQ24" s="13" t="str">
        <f t="shared" si="35"/>
        <v/>
      </c>
      <c r="CR24" s="13" t="str">
        <f t="shared" si="35"/>
        <v/>
      </c>
      <c r="CS24" s="13" t="str">
        <f t="shared" si="35"/>
        <v/>
      </c>
      <c r="CT24" s="13" t="str">
        <f t="shared" si="35"/>
        <v/>
      </c>
      <c r="CU24" s="13" t="str">
        <f t="shared" si="35"/>
        <v/>
      </c>
      <c r="CV24" s="13" t="str">
        <f t="shared" si="35"/>
        <v/>
      </c>
      <c r="CW24" s="13" t="str">
        <f t="shared" si="35"/>
        <v/>
      </c>
      <c r="CX24" s="13" t="str">
        <f t="shared" si="35"/>
        <v/>
      </c>
      <c r="CY24" s="13" t="str">
        <f t="shared" si="35"/>
        <v/>
      </c>
      <c r="CZ24" s="13" t="str">
        <f t="shared" si="35"/>
        <v/>
      </c>
      <c r="DA24" s="13" t="str">
        <f t="shared" si="35"/>
        <v/>
      </c>
      <c r="DB24" s="13" t="str">
        <f t="shared" si="35"/>
        <v/>
      </c>
      <c r="DC24" s="13" t="str">
        <f t="shared" si="35"/>
        <v/>
      </c>
      <c r="DD24" s="13" t="str">
        <f t="shared" si="35"/>
        <v/>
      </c>
      <c r="DE24" s="13" t="str">
        <f t="shared" si="35"/>
        <v/>
      </c>
      <c r="DF24" s="13" t="str">
        <f t="shared" si="35"/>
        <v/>
      </c>
      <c r="DG24" s="13" t="str">
        <f t="shared" si="15"/>
        <v/>
      </c>
      <c r="DH24" s="13" t="str">
        <f t="shared" si="15"/>
        <v/>
      </c>
      <c r="DI24" s="13" t="str">
        <f t="shared" si="15"/>
        <v/>
      </c>
      <c r="DJ24" s="13" t="str">
        <f t="shared" si="15"/>
        <v/>
      </c>
      <c r="DK24" s="13" t="str">
        <f t="shared" si="15"/>
        <v/>
      </c>
      <c r="DL24" s="13" t="str">
        <f t="shared" si="15"/>
        <v/>
      </c>
      <c r="DM24" s="13" t="str">
        <f t="shared" si="15"/>
        <v/>
      </c>
      <c r="DN24" s="13" t="str">
        <f t="shared" si="15"/>
        <v/>
      </c>
      <c r="DO24" s="13" t="str">
        <f t="shared" si="15"/>
        <v/>
      </c>
      <c r="DP24" s="13" t="str">
        <f t="shared" si="15"/>
        <v/>
      </c>
      <c r="DQ24" s="13" t="str">
        <f t="shared" si="15"/>
        <v/>
      </c>
      <c r="DR24" s="13" t="str">
        <f t="shared" si="15"/>
        <v/>
      </c>
      <c r="DS24" s="13" t="str">
        <f t="shared" si="15"/>
        <v/>
      </c>
      <c r="DT24" s="13" t="str">
        <f t="shared" si="15"/>
        <v/>
      </c>
      <c r="DU24" s="13" t="str">
        <f t="shared" si="15"/>
        <v/>
      </c>
      <c r="DV24" s="13" t="str">
        <f t="shared" si="15"/>
        <v/>
      </c>
      <c r="DW24" s="13" t="str">
        <f t="shared" si="15"/>
        <v/>
      </c>
      <c r="DX24" s="13" t="str">
        <f t="shared" si="15"/>
        <v/>
      </c>
      <c r="DY24" s="13" t="str">
        <f t="shared" si="15"/>
        <v/>
      </c>
      <c r="DZ24" s="13" t="str">
        <f t="shared" si="15"/>
        <v/>
      </c>
      <c r="EA24" s="13" t="str">
        <f t="shared" si="15"/>
        <v/>
      </c>
      <c r="EB24" s="13" t="str">
        <f t="shared" si="15"/>
        <v/>
      </c>
      <c r="EC24" s="13" t="str">
        <f t="shared" si="15"/>
        <v/>
      </c>
      <c r="ED24" s="13" t="str">
        <f t="shared" si="15"/>
        <v/>
      </c>
      <c r="EE24" s="13" t="str">
        <f t="shared" si="15"/>
        <v/>
      </c>
      <c r="EF24" s="13" t="str">
        <f t="shared" si="15"/>
        <v/>
      </c>
      <c r="EG24" s="13" t="str">
        <f t="shared" si="15"/>
        <v/>
      </c>
      <c r="EH24" s="13" t="str">
        <f t="shared" si="15"/>
        <v/>
      </c>
      <c r="EI24" s="13" t="str">
        <f t="shared" si="15"/>
        <v/>
      </c>
      <c r="EJ24" s="13" t="str">
        <f t="shared" si="15"/>
        <v/>
      </c>
      <c r="EK24" s="13" t="str">
        <f t="shared" si="15"/>
        <v/>
      </c>
      <c r="EL24" s="13" t="str">
        <f t="shared" si="15"/>
        <v/>
      </c>
      <c r="EM24" s="13" t="str">
        <f t="shared" si="15"/>
        <v/>
      </c>
      <c r="EN24" s="13" t="str">
        <f t="shared" si="15"/>
        <v/>
      </c>
      <c r="EO24" s="13" t="str">
        <f t="shared" si="15"/>
        <v/>
      </c>
      <c r="EP24" s="13" t="str">
        <f t="shared" si="15"/>
        <v/>
      </c>
      <c r="EQ24" s="13" t="str">
        <f t="shared" si="15"/>
        <v/>
      </c>
      <c r="ER24" s="13" t="str">
        <f t="shared" si="15"/>
        <v/>
      </c>
      <c r="ES24" s="13" t="str">
        <f t="shared" si="15"/>
        <v/>
      </c>
      <c r="ET24" s="13" t="str">
        <f t="shared" si="15"/>
        <v/>
      </c>
      <c r="EU24" s="13" t="str">
        <f t="shared" si="15"/>
        <v/>
      </c>
      <c r="EV24" s="13" t="str">
        <f t="shared" si="15"/>
        <v/>
      </c>
      <c r="EW24" s="13" t="str">
        <f t="shared" si="15"/>
        <v/>
      </c>
      <c r="EX24" s="13" t="str">
        <f t="shared" si="15"/>
        <v/>
      </c>
      <c r="EY24" s="13" t="str">
        <f t="shared" si="15"/>
        <v/>
      </c>
      <c r="EZ24" s="13" t="str">
        <f t="shared" si="15"/>
        <v/>
      </c>
      <c r="FA24" s="13" t="str">
        <f t="shared" si="15"/>
        <v/>
      </c>
      <c r="FB24" s="13" t="str">
        <f t="shared" si="15"/>
        <v/>
      </c>
      <c r="FC24" s="13" t="str">
        <f t="shared" si="15"/>
        <v/>
      </c>
      <c r="FD24" s="13" t="str">
        <f t="shared" si="15"/>
        <v/>
      </c>
      <c r="FE24" s="13" t="str">
        <f t="shared" si="15"/>
        <v/>
      </c>
      <c r="FF24" s="13" t="str">
        <f t="shared" si="15"/>
        <v/>
      </c>
      <c r="FG24" s="13" t="str">
        <f t="shared" si="15"/>
        <v/>
      </c>
      <c r="FH24" s="13" t="str">
        <f t="shared" si="15"/>
        <v/>
      </c>
      <c r="FI24" s="13" t="str">
        <f t="shared" si="15"/>
        <v/>
      </c>
      <c r="FJ24" s="13" t="str">
        <f t="shared" si="15"/>
        <v/>
      </c>
      <c r="FK24" s="13" t="str">
        <f t="shared" si="15"/>
        <v/>
      </c>
      <c r="FL24" s="13" t="str">
        <f t="shared" si="15"/>
        <v/>
      </c>
      <c r="FM24" s="13" t="str">
        <f t="shared" si="15"/>
        <v/>
      </c>
      <c r="FN24" s="13" t="str">
        <f t="shared" si="15"/>
        <v/>
      </c>
      <c r="FO24" s="13" t="str">
        <f t="shared" si="15"/>
        <v/>
      </c>
      <c r="FP24" s="13" t="str">
        <f t="shared" si="15"/>
        <v/>
      </c>
      <c r="FQ24" s="13" t="str">
        <f t="shared" si="15"/>
        <v/>
      </c>
      <c r="FR24" s="13" t="str">
        <f t="shared" si="15"/>
        <v/>
      </c>
      <c r="FS24" s="13" t="str">
        <f t="shared" si="16"/>
        <v/>
      </c>
      <c r="FT24" s="13" t="str">
        <f t="shared" si="16"/>
        <v/>
      </c>
      <c r="FU24" s="13" t="str">
        <f t="shared" si="16"/>
        <v/>
      </c>
      <c r="FV24" s="13" t="str">
        <f t="shared" si="16"/>
        <v/>
      </c>
      <c r="FW24" s="13" t="str">
        <f t="shared" si="16"/>
        <v/>
      </c>
      <c r="FX24" s="13" t="str">
        <f t="shared" si="16"/>
        <v/>
      </c>
      <c r="FY24" s="13" t="str">
        <f t="shared" si="16"/>
        <v/>
      </c>
      <c r="FZ24" s="13" t="str">
        <f t="shared" si="16"/>
        <v/>
      </c>
      <c r="GA24" s="13" t="str">
        <f t="shared" si="16"/>
        <v/>
      </c>
      <c r="GB24" s="13" t="str">
        <f t="shared" si="16"/>
        <v/>
      </c>
      <c r="GC24" s="13" t="str">
        <f t="shared" si="16"/>
        <v/>
      </c>
      <c r="GD24" s="13" t="str">
        <f t="shared" si="16"/>
        <v/>
      </c>
      <c r="GE24" s="13" t="str">
        <f t="shared" si="16"/>
        <v/>
      </c>
      <c r="GF24" s="13" t="str">
        <f t="shared" si="16"/>
        <v/>
      </c>
      <c r="GG24" s="13" t="str">
        <f t="shared" si="16"/>
        <v/>
      </c>
      <c r="GH24" s="13" t="str">
        <f t="shared" si="16"/>
        <v/>
      </c>
      <c r="GI24" s="13" t="str">
        <f t="shared" si="16"/>
        <v/>
      </c>
      <c r="GJ24" s="13" t="str">
        <f t="shared" si="16"/>
        <v/>
      </c>
      <c r="GK24" s="13" t="str">
        <f t="shared" si="16"/>
        <v/>
      </c>
      <c r="GL24" s="13" t="str">
        <f t="shared" si="16"/>
        <v/>
      </c>
      <c r="GM24" s="13" t="str">
        <f t="shared" si="16"/>
        <v/>
      </c>
      <c r="GN24" s="13" t="str">
        <f t="shared" si="16"/>
        <v/>
      </c>
      <c r="GO24" s="13" t="str">
        <f t="shared" si="16"/>
        <v/>
      </c>
      <c r="GP24" s="13" t="str">
        <f t="shared" si="16"/>
        <v/>
      </c>
      <c r="GQ24" s="13" t="str">
        <f t="shared" si="16"/>
        <v/>
      </c>
      <c r="GR24" s="13" t="str">
        <f t="shared" si="16"/>
        <v/>
      </c>
      <c r="GS24" s="13" t="str">
        <f t="shared" si="16"/>
        <v/>
      </c>
      <c r="GT24" s="13" t="str">
        <f t="shared" si="16"/>
        <v/>
      </c>
      <c r="GU24" s="13" t="str">
        <f t="shared" si="16"/>
        <v/>
      </c>
      <c r="GV24" s="13" t="str">
        <f t="shared" si="16"/>
        <v/>
      </c>
      <c r="GW24" s="13" t="str">
        <f t="shared" si="16"/>
        <v/>
      </c>
      <c r="GX24" s="13" t="str">
        <f t="shared" si="16"/>
        <v/>
      </c>
      <c r="GY24" s="13" t="str">
        <f t="shared" si="16"/>
        <v/>
      </c>
      <c r="GZ24" s="13" t="str">
        <f t="shared" si="16"/>
        <v/>
      </c>
      <c r="HA24" s="13" t="str">
        <f t="shared" si="16"/>
        <v/>
      </c>
      <c r="HB24" s="13" t="str">
        <f t="shared" si="16"/>
        <v/>
      </c>
      <c r="HC24" s="13" t="str">
        <f t="shared" si="16"/>
        <v/>
      </c>
      <c r="HD24" s="13" t="str">
        <f t="shared" si="16"/>
        <v/>
      </c>
      <c r="HE24" s="13" t="str">
        <f t="shared" si="16"/>
        <v/>
      </c>
      <c r="HF24" s="13" t="str">
        <f t="shared" si="16"/>
        <v/>
      </c>
      <c r="HG24" s="13" t="str">
        <f t="shared" si="16"/>
        <v/>
      </c>
      <c r="HH24" s="13" t="str">
        <f t="shared" si="16"/>
        <v/>
      </c>
      <c r="HI24" s="13" t="str">
        <f t="shared" si="16"/>
        <v/>
      </c>
      <c r="HJ24" s="13" t="str">
        <f t="shared" si="16"/>
        <v/>
      </c>
      <c r="HK24" s="13" t="str">
        <f t="shared" si="16"/>
        <v/>
      </c>
      <c r="HL24" s="13" t="str">
        <f t="shared" si="16"/>
        <v/>
      </c>
      <c r="HM24" s="13" t="str">
        <f t="shared" si="16"/>
        <v/>
      </c>
      <c r="HN24" s="13" t="str">
        <f t="shared" si="16"/>
        <v/>
      </c>
      <c r="HO24" s="13" t="str">
        <f t="shared" si="16"/>
        <v/>
      </c>
      <c r="HP24" s="13" t="str">
        <f t="shared" si="16"/>
        <v/>
      </c>
      <c r="HQ24" s="13" t="str">
        <f t="shared" si="16"/>
        <v/>
      </c>
      <c r="HR24" s="13" t="str">
        <f t="shared" si="16"/>
        <v/>
      </c>
      <c r="HS24" s="13" t="str">
        <f t="shared" si="16"/>
        <v/>
      </c>
      <c r="HT24" s="13" t="str">
        <f t="shared" si="16"/>
        <v/>
      </c>
      <c r="HU24" s="13" t="str">
        <f t="shared" si="16"/>
        <v/>
      </c>
      <c r="HV24" s="13" t="str">
        <f t="shared" si="16"/>
        <v/>
      </c>
      <c r="HW24" s="13" t="str">
        <f t="shared" si="16"/>
        <v/>
      </c>
      <c r="HX24" s="13" t="str">
        <f t="shared" si="16"/>
        <v/>
      </c>
      <c r="HY24" s="13" t="str">
        <f t="shared" si="16"/>
        <v/>
      </c>
      <c r="HZ24" s="13" t="str">
        <f t="shared" si="16"/>
        <v/>
      </c>
      <c r="IA24" s="13" t="str">
        <f t="shared" si="16"/>
        <v/>
      </c>
      <c r="IB24" s="13" t="str">
        <f t="shared" si="16"/>
        <v/>
      </c>
      <c r="IC24" s="13" t="str">
        <f t="shared" si="16"/>
        <v/>
      </c>
      <c r="ID24" s="13" t="str">
        <f t="shared" si="16"/>
        <v/>
      </c>
      <c r="IE24" s="13" t="str">
        <f t="shared" si="17"/>
        <v/>
      </c>
      <c r="IF24" s="13" t="str">
        <f t="shared" si="17"/>
        <v/>
      </c>
      <c r="IG24" s="13" t="str">
        <f t="shared" si="17"/>
        <v/>
      </c>
      <c r="IH24" s="13" t="str">
        <f t="shared" si="17"/>
        <v/>
      </c>
      <c r="II24" s="13" t="str">
        <f t="shared" si="17"/>
        <v/>
      </c>
      <c r="IJ24" s="13" t="str">
        <f t="shared" si="17"/>
        <v/>
      </c>
      <c r="IK24" s="13" t="str">
        <f t="shared" si="17"/>
        <v/>
      </c>
      <c r="IL24" s="13" t="str">
        <f t="shared" si="17"/>
        <v/>
      </c>
      <c r="IM24" s="13" t="str">
        <f t="shared" si="17"/>
        <v/>
      </c>
      <c r="IN24" s="13" t="str">
        <f t="shared" si="17"/>
        <v/>
      </c>
      <c r="IO24" s="13" t="str">
        <f t="shared" si="17"/>
        <v/>
      </c>
      <c r="IP24" s="13" t="str">
        <f t="shared" si="17"/>
        <v/>
      </c>
      <c r="IQ24" s="13" t="str">
        <f t="shared" si="17"/>
        <v/>
      </c>
      <c r="IR24" s="13" t="str">
        <f t="shared" si="17"/>
        <v/>
      </c>
      <c r="IS24" s="13" t="str">
        <f t="shared" si="17"/>
        <v/>
      </c>
      <c r="IT24" s="13" t="str">
        <f t="shared" si="17"/>
        <v/>
      </c>
      <c r="IU24" s="13" t="str">
        <f t="shared" si="17"/>
        <v/>
      </c>
      <c r="IV24" s="13" t="str">
        <f t="shared" si="17"/>
        <v/>
      </c>
      <c r="IW24" s="13" t="str">
        <f t="shared" si="17"/>
        <v/>
      </c>
      <c r="IX24" s="13" t="str">
        <f t="shared" si="17"/>
        <v/>
      </c>
      <c r="IY24" s="13" t="str">
        <f t="shared" si="17"/>
        <v/>
      </c>
      <c r="IZ24" s="13" t="str">
        <f t="shared" si="17"/>
        <v/>
      </c>
      <c r="JA24" s="13" t="str">
        <f t="shared" si="17"/>
        <v/>
      </c>
      <c r="JB24" s="13" t="str">
        <f t="shared" si="17"/>
        <v/>
      </c>
      <c r="JC24" s="13" t="str">
        <f t="shared" si="17"/>
        <v/>
      </c>
      <c r="JD24" s="13" t="str">
        <f t="shared" si="17"/>
        <v/>
      </c>
      <c r="JE24" s="13" t="str">
        <f t="shared" si="17"/>
        <v/>
      </c>
      <c r="JF24" s="13" t="str">
        <f t="shared" si="17"/>
        <v/>
      </c>
      <c r="JG24" s="13" t="str">
        <f t="shared" si="17"/>
        <v/>
      </c>
      <c r="JH24" s="13" t="str">
        <f t="shared" si="17"/>
        <v/>
      </c>
      <c r="JI24" s="13" t="str">
        <f t="shared" si="17"/>
        <v/>
      </c>
      <c r="JJ24" s="13" t="str">
        <f t="shared" si="17"/>
        <v/>
      </c>
      <c r="JK24" s="13" t="str">
        <f t="shared" si="17"/>
        <v/>
      </c>
      <c r="JL24" s="13" t="str">
        <f t="shared" si="17"/>
        <v/>
      </c>
      <c r="JM24" s="13" t="str">
        <f t="shared" si="17"/>
        <v/>
      </c>
      <c r="JN24" s="13" t="str">
        <f t="shared" si="17"/>
        <v/>
      </c>
      <c r="JO24" s="13" t="str">
        <f t="shared" si="17"/>
        <v/>
      </c>
      <c r="JP24" s="13" t="str">
        <f t="shared" si="17"/>
        <v/>
      </c>
      <c r="JQ24" s="13" t="str">
        <f t="shared" si="17"/>
        <v/>
      </c>
      <c r="JR24" s="13" t="str">
        <f t="shared" si="17"/>
        <v/>
      </c>
      <c r="JS24" s="13" t="str">
        <f t="shared" si="17"/>
        <v/>
      </c>
      <c r="JT24" s="13" t="str">
        <f t="shared" si="17"/>
        <v/>
      </c>
      <c r="JU24" s="13" t="str">
        <f t="shared" si="17"/>
        <v/>
      </c>
      <c r="JV24" s="13" t="str">
        <f t="shared" si="17"/>
        <v/>
      </c>
      <c r="JW24" s="13" t="str">
        <f t="shared" si="17"/>
        <v/>
      </c>
      <c r="JX24" s="13" t="str">
        <f t="shared" si="17"/>
        <v/>
      </c>
      <c r="JY24" s="13" t="str">
        <f t="shared" si="17"/>
        <v/>
      </c>
      <c r="JZ24" s="13" t="str">
        <f t="shared" si="17"/>
        <v/>
      </c>
      <c r="KA24" s="13" t="str">
        <f t="shared" si="17"/>
        <v/>
      </c>
      <c r="KB24" s="13" t="str">
        <f t="shared" si="17"/>
        <v/>
      </c>
      <c r="KC24" s="13" t="str">
        <f t="shared" si="17"/>
        <v/>
      </c>
      <c r="KD24" s="13" t="str">
        <f t="shared" si="17"/>
        <v/>
      </c>
      <c r="KE24" s="13" t="str">
        <f t="shared" si="17"/>
        <v/>
      </c>
      <c r="KF24" s="13" t="str">
        <f t="shared" si="17"/>
        <v/>
      </c>
      <c r="KG24" s="13" t="str">
        <f t="shared" si="17"/>
        <v/>
      </c>
      <c r="KH24" s="13" t="str">
        <f t="shared" si="17"/>
        <v/>
      </c>
      <c r="KI24" s="13" t="str">
        <f t="shared" si="17"/>
        <v/>
      </c>
      <c r="KJ24" s="13" t="str">
        <f t="shared" si="17"/>
        <v/>
      </c>
      <c r="KK24" s="13" t="str">
        <f t="shared" si="17"/>
        <v/>
      </c>
      <c r="KL24" s="13" t="str">
        <f t="shared" si="17"/>
        <v/>
      </c>
      <c r="KM24" s="13" t="str">
        <f t="shared" si="17"/>
        <v/>
      </c>
      <c r="KN24" s="13" t="str">
        <f t="shared" si="17"/>
        <v/>
      </c>
      <c r="KO24" s="13" t="str">
        <f t="shared" si="17"/>
        <v/>
      </c>
      <c r="KP24" s="13" t="str">
        <f t="shared" si="17"/>
        <v/>
      </c>
      <c r="KQ24" s="13" t="str">
        <f t="shared" si="18"/>
        <v/>
      </c>
      <c r="KR24" s="13" t="str">
        <f t="shared" si="18"/>
        <v/>
      </c>
      <c r="KS24" s="13" t="str">
        <f t="shared" si="18"/>
        <v/>
      </c>
      <c r="KT24" s="13" t="str">
        <f t="shared" si="18"/>
        <v/>
      </c>
      <c r="KU24" s="13" t="str">
        <f t="shared" si="18"/>
        <v/>
      </c>
      <c r="KV24" s="13" t="str">
        <f t="shared" si="18"/>
        <v/>
      </c>
      <c r="KW24" s="13" t="str">
        <f t="shared" si="18"/>
        <v/>
      </c>
      <c r="KX24" s="13" t="str">
        <f t="shared" si="18"/>
        <v/>
      </c>
      <c r="KY24" s="13" t="str">
        <f t="shared" si="18"/>
        <v/>
      </c>
      <c r="KZ24" s="13" t="str">
        <f t="shared" si="18"/>
        <v/>
      </c>
      <c r="LA24" s="13" t="str">
        <f t="shared" si="18"/>
        <v/>
      </c>
      <c r="LB24" s="13" t="str">
        <f t="shared" si="18"/>
        <v/>
      </c>
      <c r="LC24" s="13" t="str">
        <f t="shared" si="18"/>
        <v/>
      </c>
      <c r="LD24" s="13" t="str">
        <f t="shared" si="18"/>
        <v/>
      </c>
      <c r="LE24" s="13" t="str">
        <f t="shared" si="18"/>
        <v/>
      </c>
      <c r="LF24" s="13" t="str">
        <f t="shared" si="18"/>
        <v/>
      </c>
      <c r="LG24" s="13" t="str">
        <f t="shared" si="18"/>
        <v/>
      </c>
      <c r="LH24" s="13" t="str">
        <f t="shared" si="18"/>
        <v/>
      </c>
      <c r="LI24" s="13" t="str">
        <f t="shared" si="18"/>
        <v/>
      </c>
      <c r="LJ24" s="13" t="str">
        <f t="shared" si="18"/>
        <v/>
      </c>
      <c r="LK24" s="13" t="str">
        <f t="shared" si="18"/>
        <v/>
      </c>
      <c r="LL24" s="13" t="str">
        <f t="shared" si="18"/>
        <v/>
      </c>
      <c r="LM24" s="13" t="str">
        <f t="shared" si="18"/>
        <v/>
      </c>
      <c r="LN24" s="13" t="str">
        <f t="shared" si="18"/>
        <v/>
      </c>
      <c r="LO24" s="13" t="str">
        <f t="shared" si="18"/>
        <v/>
      </c>
      <c r="LP24" s="13" t="str">
        <f t="shared" si="18"/>
        <v/>
      </c>
      <c r="LQ24" s="13" t="str">
        <f t="shared" si="18"/>
        <v/>
      </c>
      <c r="LR24" s="13" t="str">
        <f t="shared" si="18"/>
        <v/>
      </c>
      <c r="LS24" s="13" t="str">
        <f t="shared" si="18"/>
        <v/>
      </c>
      <c r="LT24" s="13" t="str">
        <f t="shared" si="18"/>
        <v/>
      </c>
      <c r="LU24" s="13" t="str">
        <f t="shared" si="18"/>
        <v/>
      </c>
      <c r="LV24" s="13" t="str">
        <f t="shared" si="18"/>
        <v/>
      </c>
      <c r="LW24" s="13" t="str">
        <f t="shared" si="18"/>
        <v/>
      </c>
      <c r="LX24" s="13" t="str">
        <f t="shared" si="18"/>
        <v/>
      </c>
      <c r="LY24" s="13" t="str">
        <f t="shared" si="18"/>
        <v/>
      </c>
      <c r="LZ24" s="13" t="str">
        <f t="shared" si="18"/>
        <v/>
      </c>
      <c r="MA24" s="13" t="str">
        <f t="shared" si="18"/>
        <v/>
      </c>
      <c r="MB24" s="13" t="str">
        <f t="shared" si="18"/>
        <v/>
      </c>
      <c r="MC24" s="13" t="str">
        <f t="shared" si="18"/>
        <v/>
      </c>
      <c r="MD24" s="13" t="str">
        <f t="shared" si="18"/>
        <v/>
      </c>
      <c r="ME24" s="13" t="str">
        <f t="shared" si="18"/>
        <v/>
      </c>
      <c r="MF24" s="13" t="str">
        <f t="shared" si="18"/>
        <v/>
      </c>
      <c r="MG24" s="13" t="str">
        <f t="shared" si="18"/>
        <v/>
      </c>
    </row>
    <row r="25" spans="1:345" x14ac:dyDescent="0.2">
      <c r="A25" s="3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V25" s="8" t="str">
        <f t="shared" si="19"/>
        <v>R8</v>
      </c>
      <c r="W25" s="38">
        <f t="shared" si="7"/>
        <v>31</v>
      </c>
      <c r="X25" s="38">
        <f t="shared" si="8"/>
        <v>20</v>
      </c>
      <c r="Y25" s="45" t="str">
        <f t="shared" si="9"/>
        <v>3020</v>
      </c>
      <c r="Z25" s="40">
        <f t="shared" si="10"/>
        <v>30</v>
      </c>
      <c r="AA25" s="49">
        <f t="shared" si="11"/>
        <v>31</v>
      </c>
      <c r="AB25" s="40">
        <f t="shared" si="12"/>
        <v>20</v>
      </c>
      <c r="AC25" s="49">
        <f t="shared" si="13"/>
        <v>0</v>
      </c>
      <c r="AE25" s="9" t="str">
        <f t="shared" si="20"/>
        <v xml:space="preserve">R8, </v>
      </c>
      <c r="AF25" s="9" t="str">
        <f t="shared" si="21"/>
        <v/>
      </c>
      <c r="AG25" s="9" t="str">
        <f t="shared" si="22"/>
        <v/>
      </c>
      <c r="AH25" s="9" t="str">
        <f t="shared" si="23"/>
        <v/>
      </c>
      <c r="AI25" s="9" t="str">
        <f t="shared" si="24"/>
        <v/>
      </c>
      <c r="AJ25" s="9" t="str">
        <f t="shared" si="25"/>
        <v/>
      </c>
      <c r="AK25" s="9" t="str">
        <f t="shared" si="26"/>
        <v/>
      </c>
      <c r="AL25" s="9" t="str">
        <f t="shared" si="27"/>
        <v/>
      </c>
      <c r="AM25" s="9" t="str">
        <f t="shared" si="28"/>
        <v/>
      </c>
      <c r="AN25" s="9" t="str">
        <f t="shared" si="29"/>
        <v/>
      </c>
      <c r="AO25" s="10" t="str">
        <f t="shared" si="30"/>
        <v xml:space="preserve">R8, </v>
      </c>
      <c r="AP25" s="11">
        <f t="shared" si="31"/>
        <v>4</v>
      </c>
      <c r="AR25" s="13">
        <f t="shared" si="34"/>
        <v>30</v>
      </c>
      <c r="AS25" s="13">
        <f t="shared" si="32"/>
        <v>20</v>
      </c>
      <c r="AT25" s="13" t="str">
        <f t="shared" si="33"/>
        <v/>
      </c>
      <c r="AU25" s="13" t="str">
        <f t="shared" si="35"/>
        <v/>
      </c>
      <c r="AV25" s="13" t="str">
        <f t="shared" si="35"/>
        <v/>
      </c>
      <c r="AW25" s="13" t="str">
        <f t="shared" si="35"/>
        <v/>
      </c>
      <c r="AX25" s="13" t="str">
        <f t="shared" si="35"/>
        <v/>
      </c>
      <c r="AY25" s="13" t="str">
        <f t="shared" si="35"/>
        <v/>
      </c>
      <c r="AZ25" s="13" t="str">
        <f t="shared" si="35"/>
        <v/>
      </c>
      <c r="BA25" s="13" t="str">
        <f t="shared" si="35"/>
        <v xml:space="preserve">R8, </v>
      </c>
      <c r="BB25" s="13" t="str">
        <f t="shared" si="35"/>
        <v/>
      </c>
      <c r="BC25" s="13" t="str">
        <f t="shared" si="35"/>
        <v/>
      </c>
      <c r="BD25" s="13" t="str">
        <f t="shared" si="35"/>
        <v/>
      </c>
      <c r="BE25" s="13" t="str">
        <f t="shared" si="35"/>
        <v/>
      </c>
      <c r="BF25" s="13" t="str">
        <f t="shared" si="35"/>
        <v/>
      </c>
      <c r="BG25" s="13" t="str">
        <f t="shared" si="35"/>
        <v/>
      </c>
      <c r="BH25" s="13" t="str">
        <f t="shared" si="35"/>
        <v/>
      </c>
      <c r="BI25" s="13" t="str">
        <f t="shared" si="35"/>
        <v/>
      </c>
      <c r="BJ25" s="13" t="str">
        <f t="shared" si="35"/>
        <v/>
      </c>
      <c r="BK25" s="13" t="str">
        <f t="shared" si="35"/>
        <v/>
      </c>
      <c r="BL25" s="13" t="str">
        <f t="shared" si="35"/>
        <v/>
      </c>
      <c r="BM25" s="13" t="str">
        <f t="shared" si="35"/>
        <v/>
      </c>
      <c r="BN25" s="13" t="str">
        <f t="shared" si="35"/>
        <v/>
      </c>
      <c r="BO25" s="13" t="str">
        <f t="shared" si="35"/>
        <v/>
      </c>
      <c r="BP25" s="13" t="str">
        <f t="shared" si="35"/>
        <v/>
      </c>
      <c r="BQ25" s="13" t="str">
        <f t="shared" si="35"/>
        <v/>
      </c>
      <c r="BR25" s="13" t="str">
        <f t="shared" si="35"/>
        <v/>
      </c>
      <c r="BS25" s="13" t="str">
        <f t="shared" si="35"/>
        <v/>
      </c>
      <c r="BT25" s="13" t="str">
        <f t="shared" si="35"/>
        <v/>
      </c>
      <c r="BU25" s="13" t="str">
        <f t="shared" si="35"/>
        <v/>
      </c>
      <c r="BV25" s="13" t="str">
        <f t="shared" si="35"/>
        <v/>
      </c>
      <c r="BW25" s="13" t="str">
        <f t="shared" si="35"/>
        <v/>
      </c>
      <c r="BX25" s="13" t="str">
        <f t="shared" si="35"/>
        <v/>
      </c>
      <c r="BY25" s="13" t="str">
        <f t="shared" si="35"/>
        <v/>
      </c>
      <c r="BZ25" s="13" t="str">
        <f t="shared" si="35"/>
        <v/>
      </c>
      <c r="CA25" s="13" t="str">
        <f t="shared" si="35"/>
        <v/>
      </c>
      <c r="CB25" s="13" t="str">
        <f t="shared" si="35"/>
        <v/>
      </c>
      <c r="CC25" s="13" t="str">
        <f t="shared" si="35"/>
        <v/>
      </c>
      <c r="CD25" s="13" t="str">
        <f t="shared" si="35"/>
        <v/>
      </c>
      <c r="CE25" s="13" t="str">
        <f t="shared" si="35"/>
        <v/>
      </c>
      <c r="CF25" s="13" t="str">
        <f t="shared" si="35"/>
        <v/>
      </c>
      <c r="CG25" s="13" t="str">
        <f t="shared" si="35"/>
        <v/>
      </c>
      <c r="CH25" s="13" t="str">
        <f t="shared" si="35"/>
        <v/>
      </c>
      <c r="CI25" s="13" t="str">
        <f t="shared" si="35"/>
        <v/>
      </c>
      <c r="CJ25" s="13" t="str">
        <f t="shared" si="35"/>
        <v/>
      </c>
      <c r="CK25" s="13" t="str">
        <f t="shared" si="35"/>
        <v/>
      </c>
      <c r="CL25" s="13" t="str">
        <f t="shared" si="35"/>
        <v/>
      </c>
      <c r="CM25" s="13" t="str">
        <f t="shared" si="35"/>
        <v/>
      </c>
      <c r="CN25" s="13" t="str">
        <f t="shared" si="35"/>
        <v/>
      </c>
      <c r="CO25" s="13" t="str">
        <f t="shared" si="35"/>
        <v/>
      </c>
      <c r="CP25" s="13" t="str">
        <f t="shared" si="35"/>
        <v/>
      </c>
      <c r="CQ25" s="13" t="str">
        <f t="shared" si="35"/>
        <v/>
      </c>
      <c r="CR25" s="13" t="str">
        <f t="shared" si="35"/>
        <v/>
      </c>
      <c r="CS25" s="13" t="str">
        <f t="shared" si="35"/>
        <v/>
      </c>
      <c r="CT25" s="13" t="str">
        <f t="shared" si="35"/>
        <v/>
      </c>
      <c r="CU25" s="13" t="str">
        <f t="shared" si="35"/>
        <v/>
      </c>
      <c r="CV25" s="13" t="str">
        <f t="shared" si="35"/>
        <v/>
      </c>
      <c r="CW25" s="13" t="str">
        <f t="shared" si="35"/>
        <v/>
      </c>
      <c r="CX25" s="13" t="str">
        <f t="shared" si="35"/>
        <v/>
      </c>
      <c r="CY25" s="13" t="str">
        <f t="shared" si="35"/>
        <v/>
      </c>
      <c r="CZ25" s="13" t="str">
        <f t="shared" si="35"/>
        <v/>
      </c>
      <c r="DA25" s="13" t="str">
        <f t="shared" si="35"/>
        <v/>
      </c>
      <c r="DB25" s="13" t="str">
        <f t="shared" si="35"/>
        <v/>
      </c>
      <c r="DC25" s="13" t="str">
        <f t="shared" si="35"/>
        <v/>
      </c>
      <c r="DD25" s="13" t="str">
        <f t="shared" si="35"/>
        <v/>
      </c>
      <c r="DE25" s="13" t="str">
        <f t="shared" si="35"/>
        <v/>
      </c>
      <c r="DF25" s="13" t="str">
        <f t="shared" si="35"/>
        <v/>
      </c>
      <c r="DG25" s="13" t="str">
        <f t="shared" si="15"/>
        <v/>
      </c>
      <c r="DH25" s="13" t="str">
        <f t="shared" si="15"/>
        <v/>
      </c>
      <c r="DI25" s="13" t="str">
        <f t="shared" si="15"/>
        <v/>
      </c>
      <c r="DJ25" s="13" t="str">
        <f t="shared" si="15"/>
        <v/>
      </c>
      <c r="DK25" s="13" t="str">
        <f t="shared" si="15"/>
        <v/>
      </c>
      <c r="DL25" s="13" t="str">
        <f t="shared" si="15"/>
        <v/>
      </c>
      <c r="DM25" s="13" t="str">
        <f t="shared" si="15"/>
        <v/>
      </c>
      <c r="DN25" s="13" t="str">
        <f t="shared" si="15"/>
        <v/>
      </c>
      <c r="DO25" s="13" t="str">
        <f t="shared" si="15"/>
        <v/>
      </c>
      <c r="DP25" s="13" t="str">
        <f t="shared" si="15"/>
        <v/>
      </c>
      <c r="DQ25" s="13" t="str">
        <f t="shared" si="15"/>
        <v/>
      </c>
      <c r="DR25" s="13" t="str">
        <f t="shared" si="15"/>
        <v/>
      </c>
      <c r="DS25" s="13" t="str">
        <f t="shared" si="15"/>
        <v/>
      </c>
      <c r="DT25" s="13" t="str">
        <f t="shared" si="15"/>
        <v/>
      </c>
      <c r="DU25" s="13" t="str">
        <f t="shared" si="15"/>
        <v/>
      </c>
      <c r="DV25" s="13" t="str">
        <f t="shared" si="15"/>
        <v/>
      </c>
      <c r="DW25" s="13" t="str">
        <f t="shared" si="15"/>
        <v/>
      </c>
      <c r="DX25" s="13" t="str">
        <f t="shared" si="15"/>
        <v/>
      </c>
      <c r="DY25" s="13" t="str">
        <f t="shared" si="15"/>
        <v/>
      </c>
      <c r="DZ25" s="13" t="str">
        <f t="shared" si="15"/>
        <v/>
      </c>
      <c r="EA25" s="13" t="str">
        <f t="shared" si="15"/>
        <v/>
      </c>
      <c r="EB25" s="13" t="str">
        <f t="shared" si="15"/>
        <v/>
      </c>
      <c r="EC25" s="13" t="str">
        <f t="shared" si="15"/>
        <v/>
      </c>
      <c r="ED25" s="13" t="str">
        <f t="shared" si="15"/>
        <v/>
      </c>
      <c r="EE25" s="13" t="str">
        <f t="shared" si="15"/>
        <v/>
      </c>
      <c r="EF25" s="13" t="str">
        <f t="shared" si="15"/>
        <v/>
      </c>
      <c r="EG25" s="13" t="str">
        <f t="shared" si="15"/>
        <v/>
      </c>
      <c r="EH25" s="13" t="str">
        <f t="shared" si="15"/>
        <v/>
      </c>
      <c r="EI25" s="13" t="str">
        <f t="shared" si="15"/>
        <v/>
      </c>
      <c r="EJ25" s="13" t="str">
        <f t="shared" si="15"/>
        <v/>
      </c>
      <c r="EK25" s="13" t="str">
        <f t="shared" si="15"/>
        <v/>
      </c>
      <c r="EL25" s="13" t="str">
        <f t="shared" si="15"/>
        <v/>
      </c>
      <c r="EM25" s="13" t="str">
        <f t="shared" si="15"/>
        <v/>
      </c>
      <c r="EN25" s="13" t="str">
        <f t="shared" si="15"/>
        <v/>
      </c>
      <c r="EO25" s="13" t="str">
        <f t="shared" si="15"/>
        <v/>
      </c>
      <c r="EP25" s="13" t="str">
        <f t="shared" si="15"/>
        <v/>
      </c>
      <c r="EQ25" s="13" t="str">
        <f t="shared" si="15"/>
        <v/>
      </c>
      <c r="ER25" s="13" t="str">
        <f t="shared" si="15"/>
        <v/>
      </c>
      <c r="ES25" s="13" t="str">
        <f t="shared" si="15"/>
        <v/>
      </c>
      <c r="ET25" s="13" t="str">
        <f t="shared" si="15"/>
        <v/>
      </c>
      <c r="EU25" s="13" t="str">
        <f t="shared" si="15"/>
        <v/>
      </c>
      <c r="EV25" s="13" t="str">
        <f t="shared" si="15"/>
        <v/>
      </c>
      <c r="EW25" s="13" t="str">
        <f t="shared" si="15"/>
        <v/>
      </c>
      <c r="EX25" s="13" t="str">
        <f t="shared" si="15"/>
        <v/>
      </c>
      <c r="EY25" s="13" t="str">
        <f t="shared" si="15"/>
        <v/>
      </c>
      <c r="EZ25" s="13" t="str">
        <f t="shared" si="15"/>
        <v/>
      </c>
      <c r="FA25" s="13" t="str">
        <f t="shared" si="15"/>
        <v/>
      </c>
      <c r="FB25" s="13" t="str">
        <f t="shared" si="15"/>
        <v/>
      </c>
      <c r="FC25" s="13" t="str">
        <f t="shared" si="15"/>
        <v/>
      </c>
      <c r="FD25" s="13" t="str">
        <f t="shared" si="15"/>
        <v/>
      </c>
      <c r="FE25" s="13" t="str">
        <f t="shared" si="15"/>
        <v/>
      </c>
      <c r="FF25" s="13" t="str">
        <f t="shared" si="15"/>
        <v/>
      </c>
      <c r="FG25" s="13" t="str">
        <f t="shared" si="15"/>
        <v/>
      </c>
      <c r="FH25" s="13" t="str">
        <f t="shared" si="15"/>
        <v/>
      </c>
      <c r="FI25" s="13" t="str">
        <f t="shared" si="15"/>
        <v/>
      </c>
      <c r="FJ25" s="13" t="str">
        <f t="shared" si="15"/>
        <v/>
      </c>
      <c r="FK25" s="13" t="str">
        <f t="shared" si="15"/>
        <v/>
      </c>
      <c r="FL25" s="13" t="str">
        <f t="shared" si="15"/>
        <v/>
      </c>
      <c r="FM25" s="13" t="str">
        <f t="shared" si="15"/>
        <v/>
      </c>
      <c r="FN25" s="13" t="str">
        <f t="shared" si="15"/>
        <v/>
      </c>
      <c r="FO25" s="13" t="str">
        <f t="shared" si="15"/>
        <v/>
      </c>
      <c r="FP25" s="13" t="str">
        <f t="shared" si="15"/>
        <v/>
      </c>
      <c r="FQ25" s="13" t="str">
        <f t="shared" si="15"/>
        <v/>
      </c>
      <c r="FR25" s="13" t="str">
        <f t="shared" ref="FR25:IC29" si="36">IF(FR54&gt;0,TEXT(FR$50,"R"&amp;0)&amp;", ","")</f>
        <v/>
      </c>
      <c r="FS25" s="13" t="str">
        <f t="shared" si="36"/>
        <v/>
      </c>
      <c r="FT25" s="13" t="str">
        <f t="shared" si="36"/>
        <v/>
      </c>
      <c r="FU25" s="13" t="str">
        <f t="shared" si="36"/>
        <v/>
      </c>
      <c r="FV25" s="13" t="str">
        <f t="shared" si="36"/>
        <v/>
      </c>
      <c r="FW25" s="13" t="str">
        <f t="shared" si="36"/>
        <v/>
      </c>
      <c r="FX25" s="13" t="str">
        <f t="shared" si="36"/>
        <v/>
      </c>
      <c r="FY25" s="13" t="str">
        <f t="shared" si="36"/>
        <v/>
      </c>
      <c r="FZ25" s="13" t="str">
        <f t="shared" si="36"/>
        <v/>
      </c>
      <c r="GA25" s="13" t="str">
        <f t="shared" si="36"/>
        <v/>
      </c>
      <c r="GB25" s="13" t="str">
        <f t="shared" si="36"/>
        <v/>
      </c>
      <c r="GC25" s="13" t="str">
        <f t="shared" si="36"/>
        <v/>
      </c>
      <c r="GD25" s="13" t="str">
        <f t="shared" si="36"/>
        <v/>
      </c>
      <c r="GE25" s="13" t="str">
        <f t="shared" si="36"/>
        <v/>
      </c>
      <c r="GF25" s="13" t="str">
        <f t="shared" si="36"/>
        <v/>
      </c>
      <c r="GG25" s="13" t="str">
        <f t="shared" si="36"/>
        <v/>
      </c>
      <c r="GH25" s="13" t="str">
        <f t="shared" si="36"/>
        <v/>
      </c>
      <c r="GI25" s="13" t="str">
        <f t="shared" si="36"/>
        <v/>
      </c>
      <c r="GJ25" s="13" t="str">
        <f t="shared" si="36"/>
        <v/>
      </c>
      <c r="GK25" s="13" t="str">
        <f t="shared" si="36"/>
        <v/>
      </c>
      <c r="GL25" s="13" t="str">
        <f t="shared" si="36"/>
        <v/>
      </c>
      <c r="GM25" s="13" t="str">
        <f t="shared" si="36"/>
        <v/>
      </c>
      <c r="GN25" s="13" t="str">
        <f t="shared" si="36"/>
        <v/>
      </c>
      <c r="GO25" s="13" t="str">
        <f t="shared" si="36"/>
        <v/>
      </c>
      <c r="GP25" s="13" t="str">
        <f t="shared" si="36"/>
        <v/>
      </c>
      <c r="GQ25" s="13" t="str">
        <f t="shared" si="36"/>
        <v/>
      </c>
      <c r="GR25" s="13" t="str">
        <f t="shared" si="36"/>
        <v/>
      </c>
      <c r="GS25" s="13" t="str">
        <f t="shared" si="36"/>
        <v/>
      </c>
      <c r="GT25" s="13" t="str">
        <f t="shared" si="36"/>
        <v/>
      </c>
      <c r="GU25" s="13" t="str">
        <f t="shared" si="36"/>
        <v/>
      </c>
      <c r="GV25" s="13" t="str">
        <f t="shared" si="36"/>
        <v/>
      </c>
      <c r="GW25" s="13" t="str">
        <f t="shared" si="36"/>
        <v/>
      </c>
      <c r="GX25" s="13" t="str">
        <f t="shared" si="36"/>
        <v/>
      </c>
      <c r="GY25" s="13" t="str">
        <f t="shared" si="36"/>
        <v/>
      </c>
      <c r="GZ25" s="13" t="str">
        <f t="shared" si="36"/>
        <v/>
      </c>
      <c r="HA25" s="13" t="str">
        <f t="shared" si="36"/>
        <v/>
      </c>
      <c r="HB25" s="13" t="str">
        <f t="shared" si="36"/>
        <v/>
      </c>
      <c r="HC25" s="13" t="str">
        <f t="shared" si="36"/>
        <v/>
      </c>
      <c r="HD25" s="13" t="str">
        <f t="shared" si="36"/>
        <v/>
      </c>
      <c r="HE25" s="13" t="str">
        <f t="shared" si="36"/>
        <v/>
      </c>
      <c r="HF25" s="13" t="str">
        <f t="shared" si="36"/>
        <v/>
      </c>
      <c r="HG25" s="13" t="str">
        <f t="shared" si="36"/>
        <v/>
      </c>
      <c r="HH25" s="13" t="str">
        <f t="shared" si="36"/>
        <v/>
      </c>
      <c r="HI25" s="13" t="str">
        <f t="shared" si="36"/>
        <v/>
      </c>
      <c r="HJ25" s="13" t="str">
        <f t="shared" si="36"/>
        <v/>
      </c>
      <c r="HK25" s="13" t="str">
        <f t="shared" si="36"/>
        <v/>
      </c>
      <c r="HL25" s="13" t="str">
        <f t="shared" si="36"/>
        <v/>
      </c>
      <c r="HM25" s="13" t="str">
        <f t="shared" si="36"/>
        <v/>
      </c>
      <c r="HN25" s="13" t="str">
        <f t="shared" si="36"/>
        <v/>
      </c>
      <c r="HO25" s="13" t="str">
        <f t="shared" si="36"/>
        <v/>
      </c>
      <c r="HP25" s="13" t="str">
        <f t="shared" si="36"/>
        <v/>
      </c>
      <c r="HQ25" s="13" t="str">
        <f t="shared" si="36"/>
        <v/>
      </c>
      <c r="HR25" s="13" t="str">
        <f t="shared" si="36"/>
        <v/>
      </c>
      <c r="HS25" s="13" t="str">
        <f t="shared" si="36"/>
        <v/>
      </c>
      <c r="HT25" s="13" t="str">
        <f t="shared" si="36"/>
        <v/>
      </c>
      <c r="HU25" s="13" t="str">
        <f t="shared" si="36"/>
        <v/>
      </c>
      <c r="HV25" s="13" t="str">
        <f t="shared" si="36"/>
        <v/>
      </c>
      <c r="HW25" s="13" t="str">
        <f t="shared" si="36"/>
        <v/>
      </c>
      <c r="HX25" s="13" t="str">
        <f t="shared" si="36"/>
        <v/>
      </c>
      <c r="HY25" s="13" t="str">
        <f t="shared" si="36"/>
        <v/>
      </c>
      <c r="HZ25" s="13" t="str">
        <f t="shared" si="36"/>
        <v/>
      </c>
      <c r="IA25" s="13" t="str">
        <f t="shared" si="36"/>
        <v/>
      </c>
      <c r="IB25" s="13" t="str">
        <f t="shared" si="36"/>
        <v/>
      </c>
      <c r="IC25" s="13" t="str">
        <f t="shared" si="36"/>
        <v/>
      </c>
      <c r="ID25" s="13" t="str">
        <f t="shared" si="16"/>
        <v/>
      </c>
      <c r="IE25" s="13" t="str">
        <f t="shared" si="17"/>
        <v/>
      </c>
      <c r="IF25" s="13" t="str">
        <f t="shared" si="17"/>
        <v/>
      </c>
      <c r="IG25" s="13" t="str">
        <f t="shared" si="17"/>
        <v/>
      </c>
      <c r="IH25" s="13" t="str">
        <f t="shared" si="17"/>
        <v/>
      </c>
      <c r="II25" s="13" t="str">
        <f t="shared" si="17"/>
        <v/>
      </c>
      <c r="IJ25" s="13" t="str">
        <f t="shared" si="17"/>
        <v/>
      </c>
      <c r="IK25" s="13" t="str">
        <f t="shared" si="17"/>
        <v/>
      </c>
      <c r="IL25" s="13" t="str">
        <f t="shared" si="17"/>
        <v/>
      </c>
      <c r="IM25" s="13" t="str">
        <f t="shared" si="17"/>
        <v/>
      </c>
      <c r="IN25" s="13" t="str">
        <f t="shared" si="17"/>
        <v/>
      </c>
      <c r="IO25" s="13" t="str">
        <f t="shared" si="17"/>
        <v/>
      </c>
      <c r="IP25" s="13" t="str">
        <f t="shared" si="17"/>
        <v/>
      </c>
      <c r="IQ25" s="13" t="str">
        <f t="shared" si="17"/>
        <v/>
      </c>
      <c r="IR25" s="13" t="str">
        <f t="shared" si="17"/>
        <v/>
      </c>
      <c r="IS25" s="13" t="str">
        <f t="shared" si="17"/>
        <v/>
      </c>
      <c r="IT25" s="13" t="str">
        <f t="shared" si="17"/>
        <v/>
      </c>
      <c r="IU25" s="13" t="str">
        <f t="shared" si="17"/>
        <v/>
      </c>
      <c r="IV25" s="13" t="str">
        <f t="shared" si="17"/>
        <v/>
      </c>
      <c r="IW25" s="13" t="str">
        <f t="shared" si="17"/>
        <v/>
      </c>
      <c r="IX25" s="13" t="str">
        <f t="shared" si="17"/>
        <v/>
      </c>
      <c r="IY25" s="13" t="str">
        <f t="shared" si="17"/>
        <v/>
      </c>
      <c r="IZ25" s="13" t="str">
        <f t="shared" si="17"/>
        <v/>
      </c>
      <c r="JA25" s="13" t="str">
        <f t="shared" si="17"/>
        <v/>
      </c>
      <c r="JB25" s="13" t="str">
        <f t="shared" si="17"/>
        <v/>
      </c>
      <c r="JC25" s="13" t="str">
        <f t="shared" si="17"/>
        <v/>
      </c>
      <c r="JD25" s="13" t="str">
        <f t="shared" si="17"/>
        <v/>
      </c>
      <c r="JE25" s="13" t="str">
        <f t="shared" si="17"/>
        <v/>
      </c>
      <c r="JF25" s="13" t="str">
        <f t="shared" si="17"/>
        <v/>
      </c>
      <c r="JG25" s="13" t="str">
        <f t="shared" si="17"/>
        <v/>
      </c>
      <c r="JH25" s="13" t="str">
        <f t="shared" si="17"/>
        <v/>
      </c>
      <c r="JI25" s="13" t="str">
        <f t="shared" si="17"/>
        <v/>
      </c>
      <c r="JJ25" s="13" t="str">
        <f t="shared" si="17"/>
        <v/>
      </c>
      <c r="JK25" s="13" t="str">
        <f t="shared" si="17"/>
        <v/>
      </c>
      <c r="JL25" s="13" t="str">
        <f t="shared" si="17"/>
        <v/>
      </c>
      <c r="JM25" s="13" t="str">
        <f t="shared" si="17"/>
        <v/>
      </c>
      <c r="JN25" s="13" t="str">
        <f t="shared" si="17"/>
        <v/>
      </c>
      <c r="JO25" s="13" t="str">
        <f t="shared" si="17"/>
        <v/>
      </c>
      <c r="JP25" s="13" t="str">
        <f t="shared" si="17"/>
        <v/>
      </c>
      <c r="JQ25" s="13" t="str">
        <f t="shared" si="17"/>
        <v/>
      </c>
      <c r="JR25" s="13" t="str">
        <f t="shared" si="17"/>
        <v/>
      </c>
      <c r="JS25" s="13" t="str">
        <f t="shared" si="17"/>
        <v/>
      </c>
      <c r="JT25" s="13" t="str">
        <f t="shared" si="17"/>
        <v/>
      </c>
      <c r="JU25" s="13" t="str">
        <f t="shared" si="17"/>
        <v/>
      </c>
      <c r="JV25" s="13" t="str">
        <f t="shared" si="17"/>
        <v/>
      </c>
      <c r="JW25" s="13" t="str">
        <f t="shared" si="17"/>
        <v/>
      </c>
      <c r="JX25" s="13" t="str">
        <f t="shared" si="17"/>
        <v/>
      </c>
      <c r="JY25" s="13" t="str">
        <f t="shared" si="17"/>
        <v/>
      </c>
      <c r="JZ25" s="13" t="str">
        <f t="shared" si="17"/>
        <v/>
      </c>
      <c r="KA25" s="13" t="str">
        <f t="shared" si="17"/>
        <v/>
      </c>
      <c r="KB25" s="13" t="str">
        <f t="shared" si="17"/>
        <v/>
      </c>
      <c r="KC25" s="13" t="str">
        <f t="shared" si="17"/>
        <v/>
      </c>
      <c r="KD25" s="13" t="str">
        <f t="shared" si="17"/>
        <v/>
      </c>
      <c r="KE25" s="13" t="str">
        <f t="shared" si="17"/>
        <v/>
      </c>
      <c r="KF25" s="13" t="str">
        <f t="shared" si="17"/>
        <v/>
      </c>
      <c r="KG25" s="13" t="str">
        <f t="shared" si="17"/>
        <v/>
      </c>
      <c r="KH25" s="13" t="str">
        <f t="shared" si="17"/>
        <v/>
      </c>
      <c r="KI25" s="13" t="str">
        <f t="shared" si="17"/>
        <v/>
      </c>
      <c r="KJ25" s="13" t="str">
        <f t="shared" si="17"/>
        <v/>
      </c>
      <c r="KK25" s="13" t="str">
        <f t="shared" si="17"/>
        <v/>
      </c>
      <c r="KL25" s="13" t="str">
        <f t="shared" si="17"/>
        <v/>
      </c>
      <c r="KM25" s="13" t="str">
        <f t="shared" si="17"/>
        <v/>
      </c>
      <c r="KN25" s="13" t="str">
        <f t="shared" si="17"/>
        <v/>
      </c>
      <c r="KO25" s="13" t="str">
        <f t="shared" si="17"/>
        <v/>
      </c>
      <c r="KP25" s="13" t="str">
        <f t="shared" ref="KP25:MG30" si="37">IF(KP54&gt;0,TEXT(KP$50,"R"&amp;0)&amp;", ","")</f>
        <v/>
      </c>
      <c r="KQ25" s="13" t="str">
        <f t="shared" si="37"/>
        <v/>
      </c>
      <c r="KR25" s="13" t="str">
        <f t="shared" si="37"/>
        <v/>
      </c>
      <c r="KS25" s="13" t="str">
        <f t="shared" si="37"/>
        <v/>
      </c>
      <c r="KT25" s="13" t="str">
        <f t="shared" si="37"/>
        <v/>
      </c>
      <c r="KU25" s="13" t="str">
        <f t="shared" si="37"/>
        <v/>
      </c>
      <c r="KV25" s="13" t="str">
        <f t="shared" si="37"/>
        <v/>
      </c>
      <c r="KW25" s="13" t="str">
        <f t="shared" si="37"/>
        <v/>
      </c>
      <c r="KX25" s="13" t="str">
        <f t="shared" si="37"/>
        <v/>
      </c>
      <c r="KY25" s="13" t="str">
        <f t="shared" si="37"/>
        <v/>
      </c>
      <c r="KZ25" s="13" t="str">
        <f t="shared" si="37"/>
        <v/>
      </c>
      <c r="LA25" s="13" t="str">
        <f t="shared" si="37"/>
        <v/>
      </c>
      <c r="LB25" s="13" t="str">
        <f t="shared" si="37"/>
        <v/>
      </c>
      <c r="LC25" s="13" t="str">
        <f t="shared" si="37"/>
        <v/>
      </c>
      <c r="LD25" s="13" t="str">
        <f t="shared" si="37"/>
        <v/>
      </c>
      <c r="LE25" s="13" t="str">
        <f t="shared" si="37"/>
        <v/>
      </c>
      <c r="LF25" s="13" t="str">
        <f t="shared" si="37"/>
        <v/>
      </c>
      <c r="LG25" s="13" t="str">
        <f t="shared" si="37"/>
        <v/>
      </c>
      <c r="LH25" s="13" t="str">
        <f t="shared" si="37"/>
        <v/>
      </c>
      <c r="LI25" s="13" t="str">
        <f t="shared" si="37"/>
        <v/>
      </c>
      <c r="LJ25" s="13" t="str">
        <f t="shared" si="37"/>
        <v/>
      </c>
      <c r="LK25" s="13" t="str">
        <f t="shared" si="37"/>
        <v/>
      </c>
      <c r="LL25" s="13" t="str">
        <f t="shared" si="37"/>
        <v/>
      </c>
      <c r="LM25" s="13" t="str">
        <f t="shared" si="37"/>
        <v/>
      </c>
      <c r="LN25" s="13" t="str">
        <f t="shared" si="37"/>
        <v/>
      </c>
      <c r="LO25" s="13" t="str">
        <f t="shared" si="37"/>
        <v/>
      </c>
      <c r="LP25" s="13" t="str">
        <f t="shared" si="37"/>
        <v/>
      </c>
      <c r="LQ25" s="13" t="str">
        <f t="shared" si="37"/>
        <v/>
      </c>
      <c r="LR25" s="13" t="str">
        <f t="shared" si="37"/>
        <v/>
      </c>
      <c r="LS25" s="13" t="str">
        <f t="shared" si="37"/>
        <v/>
      </c>
      <c r="LT25" s="13" t="str">
        <f t="shared" si="37"/>
        <v/>
      </c>
      <c r="LU25" s="13" t="str">
        <f t="shared" si="37"/>
        <v/>
      </c>
      <c r="LV25" s="13" t="str">
        <f t="shared" si="37"/>
        <v/>
      </c>
      <c r="LW25" s="13" t="str">
        <f t="shared" si="37"/>
        <v/>
      </c>
      <c r="LX25" s="13" t="str">
        <f t="shared" si="37"/>
        <v/>
      </c>
      <c r="LY25" s="13" t="str">
        <f t="shared" si="37"/>
        <v/>
      </c>
      <c r="LZ25" s="13" t="str">
        <f t="shared" si="37"/>
        <v/>
      </c>
      <c r="MA25" s="13" t="str">
        <f t="shared" si="37"/>
        <v/>
      </c>
      <c r="MB25" s="13" t="str">
        <f t="shared" si="37"/>
        <v/>
      </c>
      <c r="MC25" s="13" t="str">
        <f t="shared" si="37"/>
        <v/>
      </c>
      <c r="MD25" s="13" t="str">
        <f t="shared" si="37"/>
        <v/>
      </c>
      <c r="ME25" s="13" t="str">
        <f t="shared" si="37"/>
        <v/>
      </c>
      <c r="MF25" s="13" t="str">
        <f t="shared" si="37"/>
        <v/>
      </c>
      <c r="MG25" s="13" t="str">
        <f t="shared" si="37"/>
        <v/>
      </c>
    </row>
    <row r="26" spans="1:345" x14ac:dyDescent="0.2">
      <c r="A26" s="32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V26" s="8" t="str">
        <f t="shared" si="19"/>
        <v>R2</v>
      </c>
      <c r="W26" s="38">
        <f t="shared" si="7"/>
        <v>30</v>
      </c>
      <c r="X26" s="38">
        <f t="shared" si="8"/>
        <v>40</v>
      </c>
      <c r="Y26" s="45" t="str">
        <f t="shared" si="9"/>
        <v>3040</v>
      </c>
      <c r="Z26" s="40">
        <f t="shared" si="10"/>
        <v>30</v>
      </c>
      <c r="AA26" s="49">
        <f t="shared" si="11"/>
        <v>0</v>
      </c>
      <c r="AB26" s="40">
        <f t="shared" si="12"/>
        <v>40</v>
      </c>
      <c r="AC26" s="49">
        <f t="shared" si="13"/>
        <v>0</v>
      </c>
      <c r="AE26" s="9" t="str">
        <f t="shared" si="20"/>
        <v xml:space="preserve">R2, </v>
      </c>
      <c r="AF26" s="9" t="str">
        <f t="shared" si="21"/>
        <v/>
      </c>
      <c r="AG26" s="9" t="str">
        <f t="shared" si="22"/>
        <v/>
      </c>
      <c r="AH26" s="9" t="str">
        <f t="shared" si="23"/>
        <v/>
      </c>
      <c r="AI26" s="9" t="str">
        <f t="shared" si="24"/>
        <v/>
      </c>
      <c r="AJ26" s="9" t="str">
        <f t="shared" si="25"/>
        <v/>
      </c>
      <c r="AK26" s="9" t="str">
        <f t="shared" si="26"/>
        <v/>
      </c>
      <c r="AL26" s="9" t="str">
        <f t="shared" si="27"/>
        <v/>
      </c>
      <c r="AM26" s="9" t="str">
        <f t="shared" si="28"/>
        <v/>
      </c>
      <c r="AN26" s="9" t="str">
        <f t="shared" si="29"/>
        <v/>
      </c>
      <c r="AO26" s="10" t="str">
        <f t="shared" si="30"/>
        <v xml:space="preserve">R2, </v>
      </c>
      <c r="AP26" s="11">
        <f t="shared" si="31"/>
        <v>4</v>
      </c>
      <c r="AR26" s="13">
        <f t="shared" si="34"/>
        <v>30</v>
      </c>
      <c r="AS26" s="13">
        <f t="shared" si="32"/>
        <v>40</v>
      </c>
      <c r="AT26" s="13" t="str">
        <f t="shared" si="33"/>
        <v/>
      </c>
      <c r="AU26" s="13" t="str">
        <f t="shared" si="35"/>
        <v xml:space="preserve">R2, </v>
      </c>
      <c r="AV26" s="13" t="str">
        <f t="shared" si="35"/>
        <v/>
      </c>
      <c r="AW26" s="13" t="str">
        <f t="shared" si="35"/>
        <v/>
      </c>
      <c r="AX26" s="13" t="str">
        <f t="shared" si="35"/>
        <v/>
      </c>
      <c r="AY26" s="13" t="str">
        <f t="shared" si="35"/>
        <v/>
      </c>
      <c r="AZ26" s="13" t="str">
        <f t="shared" si="35"/>
        <v/>
      </c>
      <c r="BA26" s="13" t="str">
        <f t="shared" si="35"/>
        <v/>
      </c>
      <c r="BB26" s="13" t="str">
        <f t="shared" si="35"/>
        <v/>
      </c>
      <c r="BC26" s="13" t="str">
        <f t="shared" si="35"/>
        <v/>
      </c>
      <c r="BD26" s="13" t="str">
        <f t="shared" si="35"/>
        <v/>
      </c>
      <c r="BE26" s="13" t="str">
        <f t="shared" si="35"/>
        <v/>
      </c>
      <c r="BF26" s="13" t="str">
        <f t="shared" si="35"/>
        <v/>
      </c>
      <c r="BG26" s="13" t="str">
        <f t="shared" si="35"/>
        <v/>
      </c>
      <c r="BH26" s="13" t="str">
        <f t="shared" si="35"/>
        <v/>
      </c>
      <c r="BI26" s="13" t="str">
        <f t="shared" si="35"/>
        <v/>
      </c>
      <c r="BJ26" s="13" t="str">
        <f t="shared" si="35"/>
        <v/>
      </c>
      <c r="BK26" s="13" t="str">
        <f t="shared" si="35"/>
        <v/>
      </c>
      <c r="BL26" s="13" t="str">
        <f t="shared" si="35"/>
        <v/>
      </c>
      <c r="BM26" s="13" t="str">
        <f t="shared" si="35"/>
        <v/>
      </c>
      <c r="BN26" s="13" t="str">
        <f t="shared" si="35"/>
        <v/>
      </c>
      <c r="BO26" s="13" t="str">
        <f t="shared" si="35"/>
        <v/>
      </c>
      <c r="BP26" s="13" t="str">
        <f t="shared" si="35"/>
        <v/>
      </c>
      <c r="BQ26" s="13" t="str">
        <f t="shared" si="35"/>
        <v/>
      </c>
      <c r="BR26" s="13" t="str">
        <f t="shared" si="35"/>
        <v/>
      </c>
      <c r="BS26" s="13" t="str">
        <f t="shared" si="35"/>
        <v/>
      </c>
      <c r="BT26" s="13" t="str">
        <f t="shared" si="35"/>
        <v/>
      </c>
      <c r="BU26" s="13" t="str">
        <f t="shared" si="35"/>
        <v/>
      </c>
      <c r="BV26" s="13" t="str">
        <f t="shared" si="35"/>
        <v/>
      </c>
      <c r="BW26" s="13" t="str">
        <f t="shared" si="35"/>
        <v/>
      </c>
      <c r="BX26" s="13" t="str">
        <f t="shared" si="35"/>
        <v/>
      </c>
      <c r="BY26" s="13" t="str">
        <f t="shared" si="35"/>
        <v/>
      </c>
      <c r="BZ26" s="13" t="str">
        <f t="shared" si="35"/>
        <v/>
      </c>
      <c r="CA26" s="13" t="str">
        <f t="shared" si="35"/>
        <v/>
      </c>
      <c r="CB26" s="13" t="str">
        <f t="shared" si="35"/>
        <v/>
      </c>
      <c r="CC26" s="13" t="str">
        <f t="shared" si="35"/>
        <v/>
      </c>
      <c r="CD26" s="13" t="str">
        <f t="shared" si="35"/>
        <v/>
      </c>
      <c r="CE26" s="13" t="str">
        <f t="shared" si="35"/>
        <v/>
      </c>
      <c r="CF26" s="13" t="str">
        <f t="shared" si="35"/>
        <v/>
      </c>
      <c r="CG26" s="13" t="str">
        <f t="shared" si="35"/>
        <v/>
      </c>
      <c r="CH26" s="13" t="str">
        <f t="shared" si="35"/>
        <v/>
      </c>
      <c r="CI26" s="13" t="str">
        <f t="shared" si="35"/>
        <v/>
      </c>
      <c r="CJ26" s="13" t="str">
        <f t="shared" si="35"/>
        <v/>
      </c>
      <c r="CK26" s="13" t="str">
        <f t="shared" si="35"/>
        <v/>
      </c>
      <c r="CL26" s="13" t="str">
        <f t="shared" si="35"/>
        <v/>
      </c>
      <c r="CM26" s="13" t="str">
        <f t="shared" si="35"/>
        <v/>
      </c>
      <c r="CN26" s="13" t="str">
        <f t="shared" si="35"/>
        <v/>
      </c>
      <c r="CO26" s="13" t="str">
        <f t="shared" si="35"/>
        <v/>
      </c>
      <c r="CP26" s="13" t="str">
        <f t="shared" si="35"/>
        <v/>
      </c>
      <c r="CQ26" s="13" t="str">
        <f t="shared" si="35"/>
        <v/>
      </c>
      <c r="CR26" s="13" t="str">
        <f t="shared" si="35"/>
        <v/>
      </c>
      <c r="CS26" s="13" t="str">
        <f t="shared" si="35"/>
        <v/>
      </c>
      <c r="CT26" s="13" t="str">
        <f t="shared" si="35"/>
        <v/>
      </c>
      <c r="CU26" s="13" t="str">
        <f t="shared" si="35"/>
        <v/>
      </c>
      <c r="CV26" s="13" t="str">
        <f t="shared" si="35"/>
        <v/>
      </c>
      <c r="CW26" s="13" t="str">
        <f t="shared" si="35"/>
        <v/>
      </c>
      <c r="CX26" s="13" t="str">
        <f t="shared" si="35"/>
        <v/>
      </c>
      <c r="CY26" s="13" t="str">
        <f t="shared" si="35"/>
        <v/>
      </c>
      <c r="CZ26" s="13" t="str">
        <f t="shared" si="35"/>
        <v/>
      </c>
      <c r="DA26" s="13" t="str">
        <f t="shared" si="35"/>
        <v/>
      </c>
      <c r="DB26" s="13" t="str">
        <f t="shared" si="35"/>
        <v/>
      </c>
      <c r="DC26" s="13" t="str">
        <f t="shared" si="35"/>
        <v/>
      </c>
      <c r="DD26" s="13" t="str">
        <f t="shared" si="35"/>
        <v/>
      </c>
      <c r="DE26" s="13" t="str">
        <f t="shared" si="35"/>
        <v/>
      </c>
      <c r="DF26" s="13" t="str">
        <f t="shared" si="35"/>
        <v/>
      </c>
      <c r="DG26" s="13" t="str">
        <f t="shared" ref="DG26:FR41" si="38">IF(DG55&gt;0,TEXT(DG$50,"R"&amp;0)&amp;", ","")</f>
        <v/>
      </c>
      <c r="DH26" s="13" t="str">
        <f t="shared" si="38"/>
        <v/>
      </c>
      <c r="DI26" s="13" t="str">
        <f t="shared" si="38"/>
        <v/>
      </c>
      <c r="DJ26" s="13" t="str">
        <f t="shared" si="38"/>
        <v/>
      </c>
      <c r="DK26" s="13" t="str">
        <f t="shared" si="38"/>
        <v/>
      </c>
      <c r="DL26" s="13" t="str">
        <f t="shared" si="38"/>
        <v/>
      </c>
      <c r="DM26" s="13" t="str">
        <f t="shared" si="38"/>
        <v/>
      </c>
      <c r="DN26" s="13" t="str">
        <f t="shared" si="38"/>
        <v/>
      </c>
      <c r="DO26" s="13" t="str">
        <f t="shared" si="38"/>
        <v/>
      </c>
      <c r="DP26" s="13" t="str">
        <f t="shared" si="38"/>
        <v/>
      </c>
      <c r="DQ26" s="13" t="str">
        <f t="shared" si="38"/>
        <v/>
      </c>
      <c r="DR26" s="13" t="str">
        <f t="shared" si="38"/>
        <v/>
      </c>
      <c r="DS26" s="13" t="str">
        <f t="shared" si="38"/>
        <v/>
      </c>
      <c r="DT26" s="13" t="str">
        <f t="shared" si="38"/>
        <v/>
      </c>
      <c r="DU26" s="13" t="str">
        <f t="shared" si="38"/>
        <v/>
      </c>
      <c r="DV26" s="13" t="str">
        <f t="shared" si="38"/>
        <v/>
      </c>
      <c r="DW26" s="13" t="str">
        <f t="shared" si="38"/>
        <v/>
      </c>
      <c r="DX26" s="13" t="str">
        <f t="shared" si="38"/>
        <v/>
      </c>
      <c r="DY26" s="13" t="str">
        <f t="shared" si="38"/>
        <v/>
      </c>
      <c r="DZ26" s="13" t="str">
        <f t="shared" si="38"/>
        <v/>
      </c>
      <c r="EA26" s="13" t="str">
        <f t="shared" si="38"/>
        <v/>
      </c>
      <c r="EB26" s="13" t="str">
        <f t="shared" si="38"/>
        <v/>
      </c>
      <c r="EC26" s="13" t="str">
        <f t="shared" si="38"/>
        <v/>
      </c>
      <c r="ED26" s="13" t="str">
        <f t="shared" si="38"/>
        <v/>
      </c>
      <c r="EE26" s="13" t="str">
        <f t="shared" si="38"/>
        <v/>
      </c>
      <c r="EF26" s="13" t="str">
        <f t="shared" si="38"/>
        <v/>
      </c>
      <c r="EG26" s="13" t="str">
        <f t="shared" si="38"/>
        <v/>
      </c>
      <c r="EH26" s="13" t="str">
        <f t="shared" si="38"/>
        <v/>
      </c>
      <c r="EI26" s="13" t="str">
        <f t="shared" si="38"/>
        <v/>
      </c>
      <c r="EJ26" s="13" t="str">
        <f t="shared" si="38"/>
        <v/>
      </c>
      <c r="EK26" s="13" t="str">
        <f t="shared" si="38"/>
        <v/>
      </c>
      <c r="EL26" s="13" t="str">
        <f t="shared" si="38"/>
        <v/>
      </c>
      <c r="EM26" s="13" t="str">
        <f t="shared" si="38"/>
        <v/>
      </c>
      <c r="EN26" s="13" t="str">
        <f t="shared" si="38"/>
        <v/>
      </c>
      <c r="EO26" s="13" t="str">
        <f t="shared" si="38"/>
        <v/>
      </c>
      <c r="EP26" s="13" t="str">
        <f t="shared" si="38"/>
        <v/>
      </c>
      <c r="EQ26" s="13" t="str">
        <f t="shared" si="38"/>
        <v/>
      </c>
      <c r="ER26" s="13" t="str">
        <f t="shared" si="38"/>
        <v/>
      </c>
      <c r="ES26" s="13" t="str">
        <f t="shared" si="38"/>
        <v/>
      </c>
      <c r="ET26" s="13" t="str">
        <f t="shared" si="38"/>
        <v/>
      </c>
      <c r="EU26" s="13" t="str">
        <f t="shared" si="38"/>
        <v/>
      </c>
      <c r="EV26" s="13" t="str">
        <f t="shared" si="38"/>
        <v/>
      </c>
      <c r="EW26" s="13" t="str">
        <f t="shared" si="38"/>
        <v/>
      </c>
      <c r="EX26" s="13" t="str">
        <f t="shared" si="38"/>
        <v/>
      </c>
      <c r="EY26" s="13" t="str">
        <f t="shared" si="38"/>
        <v/>
      </c>
      <c r="EZ26" s="13" t="str">
        <f t="shared" si="38"/>
        <v/>
      </c>
      <c r="FA26" s="13" t="str">
        <f t="shared" si="38"/>
        <v/>
      </c>
      <c r="FB26" s="13" t="str">
        <f t="shared" si="38"/>
        <v/>
      </c>
      <c r="FC26" s="13" t="str">
        <f t="shared" si="38"/>
        <v/>
      </c>
      <c r="FD26" s="13" t="str">
        <f t="shared" si="38"/>
        <v/>
      </c>
      <c r="FE26" s="13" t="str">
        <f t="shared" si="38"/>
        <v/>
      </c>
      <c r="FF26" s="13" t="str">
        <f t="shared" si="38"/>
        <v/>
      </c>
      <c r="FG26" s="13" t="str">
        <f t="shared" si="38"/>
        <v/>
      </c>
      <c r="FH26" s="13" t="str">
        <f t="shared" si="38"/>
        <v/>
      </c>
      <c r="FI26" s="13" t="str">
        <f t="shared" si="38"/>
        <v/>
      </c>
      <c r="FJ26" s="13" t="str">
        <f t="shared" si="38"/>
        <v/>
      </c>
      <c r="FK26" s="13" t="str">
        <f t="shared" si="38"/>
        <v/>
      </c>
      <c r="FL26" s="13" t="str">
        <f t="shared" si="38"/>
        <v/>
      </c>
      <c r="FM26" s="13" t="str">
        <f t="shared" si="38"/>
        <v/>
      </c>
      <c r="FN26" s="13" t="str">
        <f t="shared" si="38"/>
        <v/>
      </c>
      <c r="FO26" s="13" t="str">
        <f t="shared" si="38"/>
        <v/>
      </c>
      <c r="FP26" s="13" t="str">
        <f t="shared" si="38"/>
        <v/>
      </c>
      <c r="FQ26" s="13" t="str">
        <f t="shared" si="38"/>
        <v/>
      </c>
      <c r="FR26" s="13" t="str">
        <f t="shared" si="38"/>
        <v/>
      </c>
      <c r="FS26" s="13" t="str">
        <f t="shared" si="36"/>
        <v/>
      </c>
      <c r="FT26" s="13" t="str">
        <f t="shared" si="36"/>
        <v/>
      </c>
      <c r="FU26" s="13" t="str">
        <f t="shared" si="36"/>
        <v/>
      </c>
      <c r="FV26" s="13" t="str">
        <f t="shared" si="36"/>
        <v/>
      </c>
      <c r="FW26" s="13" t="str">
        <f t="shared" si="36"/>
        <v/>
      </c>
      <c r="FX26" s="13" t="str">
        <f t="shared" si="36"/>
        <v/>
      </c>
      <c r="FY26" s="13" t="str">
        <f t="shared" si="36"/>
        <v/>
      </c>
      <c r="FZ26" s="13" t="str">
        <f t="shared" si="36"/>
        <v/>
      </c>
      <c r="GA26" s="13" t="str">
        <f t="shared" si="36"/>
        <v/>
      </c>
      <c r="GB26" s="13" t="str">
        <f t="shared" si="36"/>
        <v/>
      </c>
      <c r="GC26" s="13" t="str">
        <f t="shared" si="36"/>
        <v/>
      </c>
      <c r="GD26" s="13" t="str">
        <f t="shared" si="36"/>
        <v/>
      </c>
      <c r="GE26" s="13" t="str">
        <f t="shared" si="36"/>
        <v/>
      </c>
      <c r="GF26" s="13" t="str">
        <f t="shared" si="36"/>
        <v/>
      </c>
      <c r="GG26" s="13" t="str">
        <f t="shared" si="36"/>
        <v/>
      </c>
      <c r="GH26" s="13" t="str">
        <f t="shared" si="36"/>
        <v/>
      </c>
      <c r="GI26" s="13" t="str">
        <f t="shared" si="36"/>
        <v/>
      </c>
      <c r="GJ26" s="13" t="str">
        <f t="shared" si="36"/>
        <v/>
      </c>
      <c r="GK26" s="13" t="str">
        <f t="shared" si="36"/>
        <v/>
      </c>
      <c r="GL26" s="13" t="str">
        <f t="shared" si="36"/>
        <v/>
      </c>
      <c r="GM26" s="13" t="str">
        <f t="shared" si="36"/>
        <v/>
      </c>
      <c r="GN26" s="13" t="str">
        <f t="shared" si="36"/>
        <v/>
      </c>
      <c r="GO26" s="13" t="str">
        <f t="shared" si="36"/>
        <v/>
      </c>
      <c r="GP26" s="13" t="str">
        <f t="shared" si="36"/>
        <v/>
      </c>
      <c r="GQ26" s="13" t="str">
        <f t="shared" si="36"/>
        <v/>
      </c>
      <c r="GR26" s="13" t="str">
        <f t="shared" si="36"/>
        <v/>
      </c>
      <c r="GS26" s="13" t="str">
        <f t="shared" si="36"/>
        <v/>
      </c>
      <c r="GT26" s="13" t="str">
        <f t="shared" si="36"/>
        <v/>
      </c>
      <c r="GU26" s="13" t="str">
        <f t="shared" si="36"/>
        <v/>
      </c>
      <c r="GV26" s="13" t="str">
        <f t="shared" si="36"/>
        <v/>
      </c>
      <c r="GW26" s="13" t="str">
        <f t="shared" si="36"/>
        <v/>
      </c>
      <c r="GX26" s="13" t="str">
        <f t="shared" si="36"/>
        <v/>
      </c>
      <c r="GY26" s="13" t="str">
        <f t="shared" si="36"/>
        <v/>
      </c>
      <c r="GZ26" s="13" t="str">
        <f t="shared" si="36"/>
        <v/>
      </c>
      <c r="HA26" s="13" t="str">
        <f t="shared" si="36"/>
        <v/>
      </c>
      <c r="HB26" s="13" t="str">
        <f t="shared" si="36"/>
        <v/>
      </c>
      <c r="HC26" s="13" t="str">
        <f t="shared" si="36"/>
        <v/>
      </c>
      <c r="HD26" s="13" t="str">
        <f t="shared" si="36"/>
        <v/>
      </c>
      <c r="HE26" s="13" t="str">
        <f t="shared" si="36"/>
        <v/>
      </c>
      <c r="HF26" s="13" t="str">
        <f t="shared" si="36"/>
        <v/>
      </c>
      <c r="HG26" s="13" t="str">
        <f t="shared" si="36"/>
        <v/>
      </c>
      <c r="HH26" s="13" t="str">
        <f t="shared" si="36"/>
        <v/>
      </c>
      <c r="HI26" s="13" t="str">
        <f t="shared" si="36"/>
        <v/>
      </c>
      <c r="HJ26" s="13" t="str">
        <f t="shared" si="36"/>
        <v/>
      </c>
      <c r="HK26" s="13" t="str">
        <f t="shared" si="36"/>
        <v/>
      </c>
      <c r="HL26" s="13" t="str">
        <f t="shared" si="36"/>
        <v/>
      </c>
      <c r="HM26" s="13" t="str">
        <f t="shared" si="36"/>
        <v/>
      </c>
      <c r="HN26" s="13" t="str">
        <f t="shared" si="36"/>
        <v/>
      </c>
      <c r="HO26" s="13" t="str">
        <f t="shared" si="36"/>
        <v/>
      </c>
      <c r="HP26" s="13" t="str">
        <f t="shared" si="36"/>
        <v/>
      </c>
      <c r="HQ26" s="13" t="str">
        <f t="shared" si="36"/>
        <v/>
      </c>
      <c r="HR26" s="13" t="str">
        <f t="shared" si="36"/>
        <v/>
      </c>
      <c r="HS26" s="13" t="str">
        <f t="shared" si="36"/>
        <v/>
      </c>
      <c r="HT26" s="13" t="str">
        <f t="shared" si="36"/>
        <v/>
      </c>
      <c r="HU26" s="13" t="str">
        <f t="shared" si="36"/>
        <v/>
      </c>
      <c r="HV26" s="13" t="str">
        <f t="shared" si="36"/>
        <v/>
      </c>
      <c r="HW26" s="13" t="str">
        <f t="shared" si="36"/>
        <v/>
      </c>
      <c r="HX26" s="13" t="str">
        <f t="shared" si="36"/>
        <v/>
      </c>
      <c r="HY26" s="13" t="str">
        <f t="shared" si="36"/>
        <v/>
      </c>
      <c r="HZ26" s="13" t="str">
        <f t="shared" si="36"/>
        <v/>
      </c>
      <c r="IA26" s="13" t="str">
        <f t="shared" si="36"/>
        <v/>
      </c>
      <c r="IB26" s="13" t="str">
        <f t="shared" si="36"/>
        <v/>
      </c>
      <c r="IC26" s="13" t="str">
        <f t="shared" si="36"/>
        <v/>
      </c>
      <c r="ID26" s="13" t="str">
        <f t="shared" si="16"/>
        <v/>
      </c>
      <c r="IE26" s="13" t="str">
        <f t="shared" ref="IE26:KP30" si="39">IF(IE55&gt;0,TEXT(IE$50,"R"&amp;0)&amp;", ","")</f>
        <v/>
      </c>
      <c r="IF26" s="13" t="str">
        <f t="shared" si="39"/>
        <v/>
      </c>
      <c r="IG26" s="13" t="str">
        <f t="shared" si="39"/>
        <v/>
      </c>
      <c r="IH26" s="13" t="str">
        <f t="shared" si="39"/>
        <v/>
      </c>
      <c r="II26" s="13" t="str">
        <f t="shared" si="39"/>
        <v/>
      </c>
      <c r="IJ26" s="13" t="str">
        <f t="shared" si="39"/>
        <v/>
      </c>
      <c r="IK26" s="13" t="str">
        <f t="shared" si="39"/>
        <v/>
      </c>
      <c r="IL26" s="13" t="str">
        <f t="shared" si="39"/>
        <v/>
      </c>
      <c r="IM26" s="13" t="str">
        <f t="shared" si="39"/>
        <v/>
      </c>
      <c r="IN26" s="13" t="str">
        <f t="shared" si="39"/>
        <v/>
      </c>
      <c r="IO26" s="13" t="str">
        <f t="shared" si="39"/>
        <v/>
      </c>
      <c r="IP26" s="13" t="str">
        <f t="shared" si="39"/>
        <v/>
      </c>
      <c r="IQ26" s="13" t="str">
        <f t="shared" si="39"/>
        <v/>
      </c>
      <c r="IR26" s="13" t="str">
        <f t="shared" si="39"/>
        <v/>
      </c>
      <c r="IS26" s="13" t="str">
        <f t="shared" si="39"/>
        <v/>
      </c>
      <c r="IT26" s="13" t="str">
        <f t="shared" si="39"/>
        <v/>
      </c>
      <c r="IU26" s="13" t="str">
        <f t="shared" si="39"/>
        <v/>
      </c>
      <c r="IV26" s="13" t="str">
        <f t="shared" si="39"/>
        <v/>
      </c>
      <c r="IW26" s="13" t="str">
        <f t="shared" si="39"/>
        <v/>
      </c>
      <c r="IX26" s="13" t="str">
        <f t="shared" si="39"/>
        <v/>
      </c>
      <c r="IY26" s="13" t="str">
        <f t="shared" si="39"/>
        <v/>
      </c>
      <c r="IZ26" s="13" t="str">
        <f t="shared" si="39"/>
        <v/>
      </c>
      <c r="JA26" s="13" t="str">
        <f t="shared" si="39"/>
        <v/>
      </c>
      <c r="JB26" s="13" t="str">
        <f t="shared" si="39"/>
        <v/>
      </c>
      <c r="JC26" s="13" t="str">
        <f t="shared" si="39"/>
        <v/>
      </c>
      <c r="JD26" s="13" t="str">
        <f t="shared" si="39"/>
        <v/>
      </c>
      <c r="JE26" s="13" t="str">
        <f t="shared" si="39"/>
        <v/>
      </c>
      <c r="JF26" s="13" t="str">
        <f t="shared" si="39"/>
        <v/>
      </c>
      <c r="JG26" s="13" t="str">
        <f t="shared" si="39"/>
        <v/>
      </c>
      <c r="JH26" s="13" t="str">
        <f t="shared" si="39"/>
        <v/>
      </c>
      <c r="JI26" s="13" t="str">
        <f t="shared" si="39"/>
        <v/>
      </c>
      <c r="JJ26" s="13" t="str">
        <f t="shared" si="39"/>
        <v/>
      </c>
      <c r="JK26" s="13" t="str">
        <f t="shared" si="39"/>
        <v/>
      </c>
      <c r="JL26" s="13" t="str">
        <f t="shared" si="39"/>
        <v/>
      </c>
      <c r="JM26" s="13" t="str">
        <f t="shared" si="39"/>
        <v/>
      </c>
      <c r="JN26" s="13" t="str">
        <f t="shared" si="39"/>
        <v/>
      </c>
      <c r="JO26" s="13" t="str">
        <f t="shared" si="39"/>
        <v/>
      </c>
      <c r="JP26" s="13" t="str">
        <f t="shared" si="39"/>
        <v/>
      </c>
      <c r="JQ26" s="13" t="str">
        <f t="shared" si="39"/>
        <v/>
      </c>
      <c r="JR26" s="13" t="str">
        <f t="shared" si="39"/>
        <v/>
      </c>
      <c r="JS26" s="13" t="str">
        <f t="shared" si="39"/>
        <v/>
      </c>
      <c r="JT26" s="13" t="str">
        <f t="shared" si="39"/>
        <v/>
      </c>
      <c r="JU26" s="13" t="str">
        <f t="shared" si="39"/>
        <v/>
      </c>
      <c r="JV26" s="13" t="str">
        <f t="shared" si="39"/>
        <v/>
      </c>
      <c r="JW26" s="13" t="str">
        <f t="shared" si="39"/>
        <v/>
      </c>
      <c r="JX26" s="13" t="str">
        <f t="shared" si="39"/>
        <v/>
      </c>
      <c r="JY26" s="13" t="str">
        <f t="shared" si="39"/>
        <v/>
      </c>
      <c r="JZ26" s="13" t="str">
        <f t="shared" si="39"/>
        <v/>
      </c>
      <c r="KA26" s="13" t="str">
        <f t="shared" si="39"/>
        <v/>
      </c>
      <c r="KB26" s="13" t="str">
        <f t="shared" si="39"/>
        <v/>
      </c>
      <c r="KC26" s="13" t="str">
        <f t="shared" si="39"/>
        <v/>
      </c>
      <c r="KD26" s="13" t="str">
        <f t="shared" si="39"/>
        <v/>
      </c>
      <c r="KE26" s="13" t="str">
        <f t="shared" si="39"/>
        <v/>
      </c>
      <c r="KF26" s="13" t="str">
        <f t="shared" si="39"/>
        <v/>
      </c>
      <c r="KG26" s="13" t="str">
        <f t="shared" si="39"/>
        <v/>
      </c>
      <c r="KH26" s="13" t="str">
        <f t="shared" si="39"/>
        <v/>
      </c>
      <c r="KI26" s="13" t="str">
        <f t="shared" si="39"/>
        <v/>
      </c>
      <c r="KJ26" s="13" t="str">
        <f t="shared" si="39"/>
        <v/>
      </c>
      <c r="KK26" s="13" t="str">
        <f t="shared" si="39"/>
        <v/>
      </c>
      <c r="KL26" s="13" t="str">
        <f t="shared" si="39"/>
        <v/>
      </c>
      <c r="KM26" s="13" t="str">
        <f t="shared" si="39"/>
        <v/>
      </c>
      <c r="KN26" s="13" t="str">
        <f t="shared" si="39"/>
        <v/>
      </c>
      <c r="KO26" s="13" t="str">
        <f t="shared" si="39"/>
        <v/>
      </c>
      <c r="KP26" s="13" t="str">
        <f t="shared" si="39"/>
        <v/>
      </c>
      <c r="KQ26" s="13" t="str">
        <f t="shared" si="37"/>
        <v/>
      </c>
      <c r="KR26" s="13" t="str">
        <f t="shared" si="37"/>
        <v/>
      </c>
      <c r="KS26" s="13" t="str">
        <f t="shared" si="37"/>
        <v/>
      </c>
      <c r="KT26" s="13" t="str">
        <f t="shared" si="37"/>
        <v/>
      </c>
      <c r="KU26" s="13" t="str">
        <f t="shared" si="37"/>
        <v/>
      </c>
      <c r="KV26" s="13" t="str">
        <f t="shared" si="37"/>
        <v/>
      </c>
      <c r="KW26" s="13" t="str">
        <f t="shared" si="37"/>
        <v/>
      </c>
      <c r="KX26" s="13" t="str">
        <f t="shared" si="37"/>
        <v/>
      </c>
      <c r="KY26" s="13" t="str">
        <f t="shared" si="37"/>
        <v/>
      </c>
      <c r="KZ26" s="13" t="str">
        <f t="shared" si="37"/>
        <v/>
      </c>
      <c r="LA26" s="13" t="str">
        <f t="shared" si="37"/>
        <v/>
      </c>
      <c r="LB26" s="13" t="str">
        <f t="shared" si="37"/>
        <v/>
      </c>
      <c r="LC26" s="13" t="str">
        <f t="shared" si="37"/>
        <v/>
      </c>
      <c r="LD26" s="13" t="str">
        <f t="shared" si="37"/>
        <v/>
      </c>
      <c r="LE26" s="13" t="str">
        <f t="shared" si="37"/>
        <v/>
      </c>
      <c r="LF26" s="13" t="str">
        <f t="shared" si="37"/>
        <v/>
      </c>
      <c r="LG26" s="13" t="str">
        <f t="shared" si="37"/>
        <v/>
      </c>
      <c r="LH26" s="13" t="str">
        <f t="shared" si="37"/>
        <v/>
      </c>
      <c r="LI26" s="13" t="str">
        <f t="shared" si="37"/>
        <v/>
      </c>
      <c r="LJ26" s="13" t="str">
        <f t="shared" si="37"/>
        <v/>
      </c>
      <c r="LK26" s="13" t="str">
        <f t="shared" si="37"/>
        <v/>
      </c>
      <c r="LL26" s="13" t="str">
        <f t="shared" si="37"/>
        <v/>
      </c>
      <c r="LM26" s="13" t="str">
        <f t="shared" si="37"/>
        <v/>
      </c>
      <c r="LN26" s="13" t="str">
        <f t="shared" si="37"/>
        <v/>
      </c>
      <c r="LO26" s="13" t="str">
        <f t="shared" si="37"/>
        <v/>
      </c>
      <c r="LP26" s="13" t="str">
        <f t="shared" si="37"/>
        <v/>
      </c>
      <c r="LQ26" s="13" t="str">
        <f t="shared" si="37"/>
        <v/>
      </c>
      <c r="LR26" s="13" t="str">
        <f t="shared" si="37"/>
        <v/>
      </c>
      <c r="LS26" s="13" t="str">
        <f t="shared" si="37"/>
        <v/>
      </c>
      <c r="LT26" s="13" t="str">
        <f t="shared" si="37"/>
        <v/>
      </c>
      <c r="LU26" s="13" t="str">
        <f t="shared" si="37"/>
        <v/>
      </c>
      <c r="LV26" s="13" t="str">
        <f t="shared" si="37"/>
        <v/>
      </c>
      <c r="LW26" s="13" t="str">
        <f t="shared" si="37"/>
        <v/>
      </c>
      <c r="LX26" s="13" t="str">
        <f t="shared" si="37"/>
        <v/>
      </c>
      <c r="LY26" s="13" t="str">
        <f t="shared" si="37"/>
        <v/>
      </c>
      <c r="LZ26" s="13" t="str">
        <f t="shared" si="37"/>
        <v/>
      </c>
      <c r="MA26" s="13" t="str">
        <f t="shared" si="37"/>
        <v/>
      </c>
      <c r="MB26" s="13" t="str">
        <f t="shared" si="37"/>
        <v/>
      </c>
      <c r="MC26" s="13" t="str">
        <f t="shared" si="37"/>
        <v/>
      </c>
      <c r="MD26" s="13" t="str">
        <f t="shared" si="37"/>
        <v/>
      </c>
      <c r="ME26" s="13" t="str">
        <f t="shared" si="37"/>
        <v/>
      </c>
      <c r="MF26" s="13" t="str">
        <f t="shared" si="37"/>
        <v/>
      </c>
      <c r="MG26" s="13" t="str">
        <f t="shared" si="37"/>
        <v/>
      </c>
    </row>
    <row r="27" spans="1:345" x14ac:dyDescent="0.2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V27" s="8" t="str">
        <f t="shared" si="19"/>
        <v>R1</v>
      </c>
      <c r="W27" s="38">
        <f t="shared" si="7"/>
        <v>40</v>
      </c>
      <c r="X27" s="38">
        <f t="shared" si="8"/>
        <v>10</v>
      </c>
      <c r="Y27" s="45" t="str">
        <f t="shared" si="9"/>
        <v>4010</v>
      </c>
      <c r="Z27" s="40">
        <f t="shared" si="10"/>
        <v>40</v>
      </c>
      <c r="AA27" s="49">
        <f t="shared" si="11"/>
        <v>0</v>
      </c>
      <c r="AB27" s="40">
        <f t="shared" si="12"/>
        <v>10</v>
      </c>
      <c r="AC27" s="49">
        <f t="shared" si="13"/>
        <v>0</v>
      </c>
      <c r="AE27" s="9" t="str">
        <f t="shared" si="20"/>
        <v xml:space="preserve">R1, </v>
      </c>
      <c r="AF27" s="9" t="str">
        <f t="shared" si="21"/>
        <v/>
      </c>
      <c r="AG27" s="9" t="str">
        <f t="shared" si="22"/>
        <v/>
      </c>
      <c r="AH27" s="9" t="str">
        <f t="shared" si="23"/>
        <v/>
      </c>
      <c r="AI27" s="9" t="str">
        <f t="shared" si="24"/>
        <v/>
      </c>
      <c r="AJ27" s="9" t="str">
        <f t="shared" si="25"/>
        <v/>
      </c>
      <c r="AK27" s="9" t="str">
        <f t="shared" si="26"/>
        <v/>
      </c>
      <c r="AL27" s="9" t="str">
        <f t="shared" si="27"/>
        <v/>
      </c>
      <c r="AM27" s="9" t="str">
        <f t="shared" si="28"/>
        <v/>
      </c>
      <c r="AN27" s="9" t="str">
        <f t="shared" si="29"/>
        <v/>
      </c>
      <c r="AO27" s="10" t="str">
        <f t="shared" si="30"/>
        <v xml:space="preserve">R1, </v>
      </c>
      <c r="AP27" s="11">
        <f t="shared" si="31"/>
        <v>4</v>
      </c>
      <c r="AR27" s="13">
        <f t="shared" si="34"/>
        <v>40</v>
      </c>
      <c r="AS27" s="13">
        <f t="shared" si="32"/>
        <v>10</v>
      </c>
      <c r="AT27" s="13" t="str">
        <f t="shared" si="33"/>
        <v xml:space="preserve">R1, </v>
      </c>
      <c r="AU27" s="13" t="str">
        <f t="shared" si="35"/>
        <v/>
      </c>
      <c r="AV27" s="13" t="str">
        <f t="shared" si="35"/>
        <v/>
      </c>
      <c r="AW27" s="13" t="str">
        <f t="shared" si="35"/>
        <v/>
      </c>
      <c r="AX27" s="13" t="str">
        <f t="shared" si="35"/>
        <v/>
      </c>
      <c r="AY27" s="13" t="str">
        <f t="shared" si="35"/>
        <v/>
      </c>
      <c r="AZ27" s="13" t="str">
        <f t="shared" si="35"/>
        <v/>
      </c>
      <c r="BA27" s="13" t="str">
        <f t="shared" si="35"/>
        <v/>
      </c>
      <c r="BB27" s="13" t="str">
        <f t="shared" si="35"/>
        <v/>
      </c>
      <c r="BC27" s="13" t="str">
        <f t="shared" si="35"/>
        <v/>
      </c>
      <c r="BD27" s="13" t="str">
        <f t="shared" si="35"/>
        <v/>
      </c>
      <c r="BE27" s="13" t="str">
        <f t="shared" si="35"/>
        <v/>
      </c>
      <c r="BF27" s="13" t="str">
        <f t="shared" si="35"/>
        <v/>
      </c>
      <c r="BG27" s="13" t="str">
        <f t="shared" si="35"/>
        <v/>
      </c>
      <c r="BH27" s="13" t="str">
        <f t="shared" si="35"/>
        <v/>
      </c>
      <c r="BI27" s="13" t="str">
        <f t="shared" si="35"/>
        <v/>
      </c>
      <c r="BJ27" s="13" t="str">
        <f t="shared" si="35"/>
        <v/>
      </c>
      <c r="BK27" s="13" t="str">
        <f t="shared" si="35"/>
        <v/>
      </c>
      <c r="BL27" s="13" t="str">
        <f t="shared" si="35"/>
        <v/>
      </c>
      <c r="BM27" s="13" t="str">
        <f t="shared" si="35"/>
        <v/>
      </c>
      <c r="BN27" s="13" t="str">
        <f t="shared" si="35"/>
        <v/>
      </c>
      <c r="BO27" s="13" t="str">
        <f t="shared" si="35"/>
        <v/>
      </c>
      <c r="BP27" s="13" t="str">
        <f t="shared" si="35"/>
        <v/>
      </c>
      <c r="BQ27" s="13" t="str">
        <f t="shared" si="35"/>
        <v/>
      </c>
      <c r="BR27" s="13" t="str">
        <f t="shared" si="35"/>
        <v/>
      </c>
      <c r="BS27" s="13" t="str">
        <f t="shared" si="35"/>
        <v/>
      </c>
      <c r="BT27" s="13" t="str">
        <f t="shared" si="35"/>
        <v/>
      </c>
      <c r="BU27" s="13" t="str">
        <f t="shared" si="35"/>
        <v/>
      </c>
      <c r="BV27" s="13" t="str">
        <f t="shared" si="35"/>
        <v/>
      </c>
      <c r="BW27" s="13" t="str">
        <f t="shared" si="35"/>
        <v/>
      </c>
      <c r="BX27" s="13" t="str">
        <f t="shared" si="35"/>
        <v/>
      </c>
      <c r="BY27" s="13" t="str">
        <f t="shared" si="35"/>
        <v/>
      </c>
      <c r="BZ27" s="13" t="str">
        <f t="shared" si="35"/>
        <v/>
      </c>
      <c r="CA27" s="13" t="str">
        <f t="shared" si="35"/>
        <v/>
      </c>
      <c r="CB27" s="13" t="str">
        <f t="shared" si="35"/>
        <v/>
      </c>
      <c r="CC27" s="13" t="str">
        <f t="shared" si="35"/>
        <v/>
      </c>
      <c r="CD27" s="13" t="str">
        <f t="shared" si="35"/>
        <v/>
      </c>
      <c r="CE27" s="13" t="str">
        <f t="shared" si="35"/>
        <v/>
      </c>
      <c r="CF27" s="13" t="str">
        <f t="shared" si="35"/>
        <v/>
      </c>
      <c r="CG27" s="13" t="str">
        <f t="shared" si="35"/>
        <v/>
      </c>
      <c r="CH27" s="13" t="str">
        <f t="shared" si="35"/>
        <v/>
      </c>
      <c r="CI27" s="13" t="str">
        <f t="shared" si="35"/>
        <v/>
      </c>
      <c r="CJ27" s="13" t="str">
        <f t="shared" si="35"/>
        <v/>
      </c>
      <c r="CK27" s="13" t="str">
        <f t="shared" si="35"/>
        <v/>
      </c>
      <c r="CL27" s="13" t="str">
        <f t="shared" si="35"/>
        <v/>
      </c>
      <c r="CM27" s="13" t="str">
        <f t="shared" si="35"/>
        <v/>
      </c>
      <c r="CN27" s="13" t="str">
        <f t="shared" si="35"/>
        <v/>
      </c>
      <c r="CO27" s="13" t="str">
        <f t="shared" si="35"/>
        <v/>
      </c>
      <c r="CP27" s="13" t="str">
        <f t="shared" si="35"/>
        <v/>
      </c>
      <c r="CQ27" s="13" t="str">
        <f t="shared" si="35"/>
        <v/>
      </c>
      <c r="CR27" s="13" t="str">
        <f t="shared" si="35"/>
        <v/>
      </c>
      <c r="CS27" s="13" t="str">
        <f t="shared" si="35"/>
        <v/>
      </c>
      <c r="CT27" s="13" t="str">
        <f t="shared" si="35"/>
        <v/>
      </c>
      <c r="CU27" s="13" t="str">
        <f t="shared" si="35"/>
        <v/>
      </c>
      <c r="CV27" s="13" t="str">
        <f t="shared" si="35"/>
        <v/>
      </c>
      <c r="CW27" s="13" t="str">
        <f t="shared" si="35"/>
        <v/>
      </c>
      <c r="CX27" s="13" t="str">
        <f t="shared" si="35"/>
        <v/>
      </c>
      <c r="CY27" s="13" t="str">
        <f t="shared" si="35"/>
        <v/>
      </c>
      <c r="CZ27" s="13" t="str">
        <f t="shared" si="35"/>
        <v/>
      </c>
      <c r="DA27" s="13" t="str">
        <f t="shared" si="35"/>
        <v/>
      </c>
      <c r="DB27" s="13" t="str">
        <f t="shared" si="35"/>
        <v/>
      </c>
      <c r="DC27" s="13" t="str">
        <f t="shared" si="35"/>
        <v/>
      </c>
      <c r="DD27" s="13" t="str">
        <f t="shared" si="35"/>
        <v/>
      </c>
      <c r="DE27" s="13" t="str">
        <f t="shared" si="35"/>
        <v/>
      </c>
      <c r="DF27" s="13" t="str">
        <f t="shared" ref="DF27:FQ30" si="40">IF(DF56&gt;0,TEXT(DF$50,"R"&amp;0)&amp;", ","")</f>
        <v/>
      </c>
      <c r="DG27" s="13" t="str">
        <f t="shared" si="40"/>
        <v/>
      </c>
      <c r="DH27" s="13" t="str">
        <f t="shared" si="40"/>
        <v/>
      </c>
      <c r="DI27" s="13" t="str">
        <f t="shared" si="40"/>
        <v/>
      </c>
      <c r="DJ27" s="13" t="str">
        <f t="shared" si="40"/>
        <v/>
      </c>
      <c r="DK27" s="13" t="str">
        <f t="shared" si="40"/>
        <v/>
      </c>
      <c r="DL27" s="13" t="str">
        <f t="shared" si="40"/>
        <v/>
      </c>
      <c r="DM27" s="13" t="str">
        <f t="shared" si="40"/>
        <v/>
      </c>
      <c r="DN27" s="13" t="str">
        <f t="shared" si="40"/>
        <v/>
      </c>
      <c r="DO27" s="13" t="str">
        <f t="shared" si="40"/>
        <v/>
      </c>
      <c r="DP27" s="13" t="str">
        <f t="shared" si="40"/>
        <v/>
      </c>
      <c r="DQ27" s="13" t="str">
        <f t="shared" si="40"/>
        <v/>
      </c>
      <c r="DR27" s="13" t="str">
        <f t="shared" si="40"/>
        <v/>
      </c>
      <c r="DS27" s="13" t="str">
        <f t="shared" si="40"/>
        <v/>
      </c>
      <c r="DT27" s="13" t="str">
        <f t="shared" si="40"/>
        <v/>
      </c>
      <c r="DU27" s="13" t="str">
        <f t="shared" si="40"/>
        <v/>
      </c>
      <c r="DV27" s="13" t="str">
        <f t="shared" si="40"/>
        <v/>
      </c>
      <c r="DW27" s="13" t="str">
        <f t="shared" si="40"/>
        <v/>
      </c>
      <c r="DX27" s="13" t="str">
        <f t="shared" si="40"/>
        <v/>
      </c>
      <c r="DY27" s="13" t="str">
        <f t="shared" si="40"/>
        <v/>
      </c>
      <c r="DZ27" s="13" t="str">
        <f t="shared" si="40"/>
        <v/>
      </c>
      <c r="EA27" s="13" t="str">
        <f t="shared" si="40"/>
        <v/>
      </c>
      <c r="EB27" s="13" t="str">
        <f t="shared" si="40"/>
        <v/>
      </c>
      <c r="EC27" s="13" t="str">
        <f t="shared" si="40"/>
        <v/>
      </c>
      <c r="ED27" s="13" t="str">
        <f t="shared" si="40"/>
        <v/>
      </c>
      <c r="EE27" s="13" t="str">
        <f t="shared" si="40"/>
        <v/>
      </c>
      <c r="EF27" s="13" t="str">
        <f t="shared" si="40"/>
        <v/>
      </c>
      <c r="EG27" s="13" t="str">
        <f t="shared" si="40"/>
        <v/>
      </c>
      <c r="EH27" s="13" t="str">
        <f t="shared" si="40"/>
        <v/>
      </c>
      <c r="EI27" s="13" t="str">
        <f t="shared" si="40"/>
        <v/>
      </c>
      <c r="EJ27" s="13" t="str">
        <f t="shared" si="40"/>
        <v/>
      </c>
      <c r="EK27" s="13" t="str">
        <f t="shared" si="40"/>
        <v/>
      </c>
      <c r="EL27" s="13" t="str">
        <f t="shared" si="40"/>
        <v/>
      </c>
      <c r="EM27" s="13" t="str">
        <f t="shared" si="40"/>
        <v/>
      </c>
      <c r="EN27" s="13" t="str">
        <f t="shared" si="40"/>
        <v/>
      </c>
      <c r="EO27" s="13" t="str">
        <f t="shared" si="40"/>
        <v/>
      </c>
      <c r="EP27" s="13" t="str">
        <f t="shared" si="40"/>
        <v/>
      </c>
      <c r="EQ27" s="13" t="str">
        <f t="shared" si="40"/>
        <v/>
      </c>
      <c r="ER27" s="13" t="str">
        <f t="shared" si="40"/>
        <v/>
      </c>
      <c r="ES27" s="13" t="str">
        <f t="shared" si="40"/>
        <v/>
      </c>
      <c r="ET27" s="13" t="str">
        <f t="shared" si="40"/>
        <v/>
      </c>
      <c r="EU27" s="13" t="str">
        <f t="shared" si="40"/>
        <v/>
      </c>
      <c r="EV27" s="13" t="str">
        <f t="shared" si="40"/>
        <v/>
      </c>
      <c r="EW27" s="13" t="str">
        <f t="shared" si="40"/>
        <v/>
      </c>
      <c r="EX27" s="13" t="str">
        <f t="shared" si="40"/>
        <v/>
      </c>
      <c r="EY27" s="13" t="str">
        <f t="shared" si="40"/>
        <v/>
      </c>
      <c r="EZ27" s="13" t="str">
        <f t="shared" si="40"/>
        <v/>
      </c>
      <c r="FA27" s="13" t="str">
        <f t="shared" si="40"/>
        <v/>
      </c>
      <c r="FB27" s="13" t="str">
        <f t="shared" si="40"/>
        <v/>
      </c>
      <c r="FC27" s="13" t="str">
        <f t="shared" si="40"/>
        <v/>
      </c>
      <c r="FD27" s="13" t="str">
        <f t="shared" si="40"/>
        <v/>
      </c>
      <c r="FE27" s="13" t="str">
        <f t="shared" si="40"/>
        <v/>
      </c>
      <c r="FF27" s="13" t="str">
        <f t="shared" si="40"/>
        <v/>
      </c>
      <c r="FG27" s="13" t="str">
        <f t="shared" si="40"/>
        <v/>
      </c>
      <c r="FH27" s="13" t="str">
        <f t="shared" si="40"/>
        <v/>
      </c>
      <c r="FI27" s="13" t="str">
        <f t="shared" si="40"/>
        <v/>
      </c>
      <c r="FJ27" s="13" t="str">
        <f t="shared" si="40"/>
        <v/>
      </c>
      <c r="FK27" s="13" t="str">
        <f t="shared" si="40"/>
        <v/>
      </c>
      <c r="FL27" s="13" t="str">
        <f t="shared" si="40"/>
        <v/>
      </c>
      <c r="FM27" s="13" t="str">
        <f t="shared" si="40"/>
        <v/>
      </c>
      <c r="FN27" s="13" t="str">
        <f t="shared" si="40"/>
        <v/>
      </c>
      <c r="FO27" s="13" t="str">
        <f t="shared" si="40"/>
        <v/>
      </c>
      <c r="FP27" s="13" t="str">
        <f t="shared" si="40"/>
        <v/>
      </c>
      <c r="FQ27" s="13" t="str">
        <f t="shared" si="40"/>
        <v/>
      </c>
      <c r="FR27" s="13" t="str">
        <f t="shared" si="38"/>
        <v/>
      </c>
      <c r="FS27" s="13" t="str">
        <f t="shared" si="36"/>
        <v/>
      </c>
      <c r="FT27" s="13" t="str">
        <f t="shared" si="36"/>
        <v/>
      </c>
      <c r="FU27" s="13" t="str">
        <f t="shared" si="36"/>
        <v/>
      </c>
      <c r="FV27" s="13" t="str">
        <f t="shared" si="36"/>
        <v/>
      </c>
      <c r="FW27" s="13" t="str">
        <f t="shared" si="36"/>
        <v/>
      </c>
      <c r="FX27" s="13" t="str">
        <f t="shared" si="36"/>
        <v/>
      </c>
      <c r="FY27" s="13" t="str">
        <f t="shared" si="36"/>
        <v/>
      </c>
      <c r="FZ27" s="13" t="str">
        <f t="shared" si="36"/>
        <v/>
      </c>
      <c r="GA27" s="13" t="str">
        <f t="shared" si="36"/>
        <v/>
      </c>
      <c r="GB27" s="13" t="str">
        <f t="shared" si="36"/>
        <v/>
      </c>
      <c r="GC27" s="13" t="str">
        <f t="shared" si="36"/>
        <v/>
      </c>
      <c r="GD27" s="13" t="str">
        <f t="shared" si="36"/>
        <v/>
      </c>
      <c r="GE27" s="13" t="str">
        <f t="shared" si="36"/>
        <v/>
      </c>
      <c r="GF27" s="13" t="str">
        <f t="shared" si="36"/>
        <v/>
      </c>
      <c r="GG27" s="13" t="str">
        <f t="shared" si="36"/>
        <v/>
      </c>
      <c r="GH27" s="13" t="str">
        <f t="shared" si="36"/>
        <v/>
      </c>
      <c r="GI27" s="13" t="str">
        <f t="shared" si="36"/>
        <v/>
      </c>
      <c r="GJ27" s="13" t="str">
        <f t="shared" si="36"/>
        <v/>
      </c>
      <c r="GK27" s="13" t="str">
        <f t="shared" si="36"/>
        <v/>
      </c>
      <c r="GL27" s="13" t="str">
        <f t="shared" si="36"/>
        <v/>
      </c>
      <c r="GM27" s="13" t="str">
        <f t="shared" si="36"/>
        <v/>
      </c>
      <c r="GN27" s="13" t="str">
        <f t="shared" si="36"/>
        <v/>
      </c>
      <c r="GO27" s="13" t="str">
        <f t="shared" si="36"/>
        <v/>
      </c>
      <c r="GP27" s="13" t="str">
        <f t="shared" si="36"/>
        <v/>
      </c>
      <c r="GQ27" s="13" t="str">
        <f t="shared" si="36"/>
        <v/>
      </c>
      <c r="GR27" s="13" t="str">
        <f t="shared" si="36"/>
        <v/>
      </c>
      <c r="GS27" s="13" t="str">
        <f t="shared" si="36"/>
        <v/>
      </c>
      <c r="GT27" s="13" t="str">
        <f t="shared" si="36"/>
        <v/>
      </c>
      <c r="GU27" s="13" t="str">
        <f t="shared" si="36"/>
        <v/>
      </c>
      <c r="GV27" s="13" t="str">
        <f t="shared" si="36"/>
        <v/>
      </c>
      <c r="GW27" s="13" t="str">
        <f t="shared" si="36"/>
        <v/>
      </c>
      <c r="GX27" s="13" t="str">
        <f t="shared" si="36"/>
        <v/>
      </c>
      <c r="GY27" s="13" t="str">
        <f t="shared" si="36"/>
        <v/>
      </c>
      <c r="GZ27" s="13" t="str">
        <f t="shared" si="36"/>
        <v/>
      </c>
      <c r="HA27" s="13" t="str">
        <f t="shared" si="36"/>
        <v/>
      </c>
      <c r="HB27" s="13" t="str">
        <f t="shared" si="36"/>
        <v/>
      </c>
      <c r="HC27" s="13" t="str">
        <f t="shared" si="36"/>
        <v/>
      </c>
      <c r="HD27" s="13" t="str">
        <f t="shared" si="36"/>
        <v/>
      </c>
      <c r="HE27" s="13" t="str">
        <f t="shared" si="36"/>
        <v/>
      </c>
      <c r="HF27" s="13" t="str">
        <f t="shared" si="36"/>
        <v/>
      </c>
      <c r="HG27" s="13" t="str">
        <f t="shared" si="36"/>
        <v/>
      </c>
      <c r="HH27" s="13" t="str">
        <f t="shared" si="36"/>
        <v/>
      </c>
      <c r="HI27" s="13" t="str">
        <f t="shared" si="36"/>
        <v/>
      </c>
      <c r="HJ27" s="13" t="str">
        <f t="shared" si="36"/>
        <v/>
      </c>
      <c r="HK27" s="13" t="str">
        <f t="shared" si="36"/>
        <v/>
      </c>
      <c r="HL27" s="13" t="str">
        <f t="shared" si="36"/>
        <v/>
      </c>
      <c r="HM27" s="13" t="str">
        <f t="shared" si="36"/>
        <v/>
      </c>
      <c r="HN27" s="13" t="str">
        <f t="shared" si="36"/>
        <v/>
      </c>
      <c r="HO27" s="13" t="str">
        <f t="shared" si="36"/>
        <v/>
      </c>
      <c r="HP27" s="13" t="str">
        <f t="shared" si="36"/>
        <v/>
      </c>
      <c r="HQ27" s="13" t="str">
        <f t="shared" si="36"/>
        <v/>
      </c>
      <c r="HR27" s="13" t="str">
        <f t="shared" si="36"/>
        <v/>
      </c>
      <c r="HS27" s="13" t="str">
        <f t="shared" si="36"/>
        <v/>
      </c>
      <c r="HT27" s="13" t="str">
        <f t="shared" si="36"/>
        <v/>
      </c>
      <c r="HU27" s="13" t="str">
        <f t="shared" si="36"/>
        <v/>
      </c>
      <c r="HV27" s="13" t="str">
        <f t="shared" si="36"/>
        <v/>
      </c>
      <c r="HW27" s="13" t="str">
        <f t="shared" si="36"/>
        <v/>
      </c>
      <c r="HX27" s="13" t="str">
        <f t="shared" si="36"/>
        <v/>
      </c>
      <c r="HY27" s="13" t="str">
        <f t="shared" si="36"/>
        <v/>
      </c>
      <c r="HZ27" s="13" t="str">
        <f t="shared" si="36"/>
        <v/>
      </c>
      <c r="IA27" s="13" t="str">
        <f t="shared" si="36"/>
        <v/>
      </c>
      <c r="IB27" s="13" t="str">
        <f t="shared" si="36"/>
        <v/>
      </c>
      <c r="IC27" s="13" t="str">
        <f t="shared" si="36"/>
        <v/>
      </c>
      <c r="ID27" s="13" t="str">
        <f t="shared" si="16"/>
        <v/>
      </c>
      <c r="IE27" s="13" t="str">
        <f t="shared" si="39"/>
        <v/>
      </c>
      <c r="IF27" s="13" t="str">
        <f t="shared" si="39"/>
        <v/>
      </c>
      <c r="IG27" s="13" t="str">
        <f t="shared" si="39"/>
        <v/>
      </c>
      <c r="IH27" s="13" t="str">
        <f t="shared" si="39"/>
        <v/>
      </c>
      <c r="II27" s="13" t="str">
        <f t="shared" si="39"/>
        <v/>
      </c>
      <c r="IJ27" s="13" t="str">
        <f t="shared" si="39"/>
        <v/>
      </c>
      <c r="IK27" s="13" t="str">
        <f t="shared" si="39"/>
        <v/>
      </c>
      <c r="IL27" s="13" t="str">
        <f t="shared" si="39"/>
        <v/>
      </c>
      <c r="IM27" s="13" t="str">
        <f t="shared" si="39"/>
        <v/>
      </c>
      <c r="IN27" s="13" t="str">
        <f t="shared" si="39"/>
        <v/>
      </c>
      <c r="IO27" s="13" t="str">
        <f t="shared" si="39"/>
        <v/>
      </c>
      <c r="IP27" s="13" t="str">
        <f t="shared" si="39"/>
        <v/>
      </c>
      <c r="IQ27" s="13" t="str">
        <f t="shared" si="39"/>
        <v/>
      </c>
      <c r="IR27" s="13" t="str">
        <f t="shared" si="39"/>
        <v/>
      </c>
      <c r="IS27" s="13" t="str">
        <f t="shared" si="39"/>
        <v/>
      </c>
      <c r="IT27" s="13" t="str">
        <f t="shared" si="39"/>
        <v/>
      </c>
      <c r="IU27" s="13" t="str">
        <f t="shared" si="39"/>
        <v/>
      </c>
      <c r="IV27" s="13" t="str">
        <f t="shared" si="39"/>
        <v/>
      </c>
      <c r="IW27" s="13" t="str">
        <f t="shared" si="39"/>
        <v/>
      </c>
      <c r="IX27" s="13" t="str">
        <f t="shared" si="39"/>
        <v/>
      </c>
      <c r="IY27" s="13" t="str">
        <f t="shared" si="39"/>
        <v/>
      </c>
      <c r="IZ27" s="13" t="str">
        <f t="shared" si="39"/>
        <v/>
      </c>
      <c r="JA27" s="13" t="str">
        <f t="shared" si="39"/>
        <v/>
      </c>
      <c r="JB27" s="13" t="str">
        <f t="shared" si="39"/>
        <v/>
      </c>
      <c r="JC27" s="13" t="str">
        <f t="shared" si="39"/>
        <v/>
      </c>
      <c r="JD27" s="13" t="str">
        <f t="shared" si="39"/>
        <v/>
      </c>
      <c r="JE27" s="13" t="str">
        <f t="shared" si="39"/>
        <v/>
      </c>
      <c r="JF27" s="13" t="str">
        <f t="shared" si="39"/>
        <v/>
      </c>
      <c r="JG27" s="13" t="str">
        <f t="shared" si="39"/>
        <v/>
      </c>
      <c r="JH27" s="13" t="str">
        <f t="shared" si="39"/>
        <v/>
      </c>
      <c r="JI27" s="13" t="str">
        <f t="shared" si="39"/>
        <v/>
      </c>
      <c r="JJ27" s="13" t="str">
        <f t="shared" si="39"/>
        <v/>
      </c>
      <c r="JK27" s="13" t="str">
        <f t="shared" si="39"/>
        <v/>
      </c>
      <c r="JL27" s="13" t="str">
        <f t="shared" si="39"/>
        <v/>
      </c>
      <c r="JM27" s="13" t="str">
        <f t="shared" si="39"/>
        <v/>
      </c>
      <c r="JN27" s="13" t="str">
        <f t="shared" si="39"/>
        <v/>
      </c>
      <c r="JO27" s="13" t="str">
        <f t="shared" si="39"/>
        <v/>
      </c>
      <c r="JP27" s="13" t="str">
        <f t="shared" si="39"/>
        <v/>
      </c>
      <c r="JQ27" s="13" t="str">
        <f t="shared" si="39"/>
        <v/>
      </c>
      <c r="JR27" s="13" t="str">
        <f t="shared" si="39"/>
        <v/>
      </c>
      <c r="JS27" s="13" t="str">
        <f t="shared" si="39"/>
        <v/>
      </c>
      <c r="JT27" s="13" t="str">
        <f t="shared" si="39"/>
        <v/>
      </c>
      <c r="JU27" s="13" t="str">
        <f t="shared" si="39"/>
        <v/>
      </c>
      <c r="JV27" s="13" t="str">
        <f t="shared" si="39"/>
        <v/>
      </c>
      <c r="JW27" s="13" t="str">
        <f t="shared" si="39"/>
        <v/>
      </c>
      <c r="JX27" s="13" t="str">
        <f t="shared" si="39"/>
        <v/>
      </c>
      <c r="JY27" s="13" t="str">
        <f t="shared" si="39"/>
        <v/>
      </c>
      <c r="JZ27" s="13" t="str">
        <f t="shared" si="39"/>
        <v/>
      </c>
      <c r="KA27" s="13" t="str">
        <f t="shared" si="39"/>
        <v/>
      </c>
      <c r="KB27" s="13" t="str">
        <f t="shared" si="39"/>
        <v/>
      </c>
      <c r="KC27" s="13" t="str">
        <f t="shared" si="39"/>
        <v/>
      </c>
      <c r="KD27" s="13" t="str">
        <f t="shared" si="39"/>
        <v/>
      </c>
      <c r="KE27" s="13" t="str">
        <f t="shared" si="39"/>
        <v/>
      </c>
      <c r="KF27" s="13" t="str">
        <f t="shared" si="39"/>
        <v/>
      </c>
      <c r="KG27" s="13" t="str">
        <f t="shared" si="39"/>
        <v/>
      </c>
      <c r="KH27" s="13" t="str">
        <f t="shared" si="39"/>
        <v/>
      </c>
      <c r="KI27" s="13" t="str">
        <f t="shared" si="39"/>
        <v/>
      </c>
      <c r="KJ27" s="13" t="str">
        <f t="shared" si="39"/>
        <v/>
      </c>
      <c r="KK27" s="13" t="str">
        <f t="shared" si="39"/>
        <v/>
      </c>
      <c r="KL27" s="13" t="str">
        <f t="shared" si="39"/>
        <v/>
      </c>
      <c r="KM27" s="13" t="str">
        <f t="shared" si="39"/>
        <v/>
      </c>
      <c r="KN27" s="13" t="str">
        <f t="shared" si="39"/>
        <v/>
      </c>
      <c r="KO27" s="13" t="str">
        <f t="shared" si="39"/>
        <v/>
      </c>
      <c r="KP27" s="13" t="str">
        <f t="shared" si="39"/>
        <v/>
      </c>
      <c r="KQ27" s="13" t="str">
        <f t="shared" si="37"/>
        <v/>
      </c>
      <c r="KR27" s="13" t="str">
        <f t="shared" si="37"/>
        <v/>
      </c>
      <c r="KS27" s="13" t="str">
        <f t="shared" si="37"/>
        <v/>
      </c>
      <c r="KT27" s="13" t="str">
        <f t="shared" si="37"/>
        <v/>
      </c>
      <c r="KU27" s="13" t="str">
        <f t="shared" si="37"/>
        <v/>
      </c>
      <c r="KV27" s="13" t="str">
        <f t="shared" si="37"/>
        <v/>
      </c>
      <c r="KW27" s="13" t="str">
        <f t="shared" si="37"/>
        <v/>
      </c>
      <c r="KX27" s="13" t="str">
        <f t="shared" si="37"/>
        <v/>
      </c>
      <c r="KY27" s="13" t="str">
        <f t="shared" si="37"/>
        <v/>
      </c>
      <c r="KZ27" s="13" t="str">
        <f t="shared" si="37"/>
        <v/>
      </c>
      <c r="LA27" s="13" t="str">
        <f t="shared" si="37"/>
        <v/>
      </c>
      <c r="LB27" s="13" t="str">
        <f t="shared" si="37"/>
        <v/>
      </c>
      <c r="LC27" s="13" t="str">
        <f t="shared" si="37"/>
        <v/>
      </c>
      <c r="LD27" s="13" t="str">
        <f t="shared" si="37"/>
        <v/>
      </c>
      <c r="LE27" s="13" t="str">
        <f t="shared" si="37"/>
        <v/>
      </c>
      <c r="LF27" s="13" t="str">
        <f t="shared" si="37"/>
        <v/>
      </c>
      <c r="LG27" s="13" t="str">
        <f t="shared" si="37"/>
        <v/>
      </c>
      <c r="LH27" s="13" t="str">
        <f t="shared" si="37"/>
        <v/>
      </c>
      <c r="LI27" s="13" t="str">
        <f t="shared" si="37"/>
        <v/>
      </c>
      <c r="LJ27" s="13" t="str">
        <f t="shared" si="37"/>
        <v/>
      </c>
      <c r="LK27" s="13" t="str">
        <f t="shared" si="37"/>
        <v/>
      </c>
      <c r="LL27" s="13" t="str">
        <f t="shared" si="37"/>
        <v/>
      </c>
      <c r="LM27" s="13" t="str">
        <f t="shared" si="37"/>
        <v/>
      </c>
      <c r="LN27" s="13" t="str">
        <f t="shared" si="37"/>
        <v/>
      </c>
      <c r="LO27" s="13" t="str">
        <f t="shared" si="37"/>
        <v/>
      </c>
      <c r="LP27" s="13" t="str">
        <f t="shared" si="37"/>
        <v/>
      </c>
      <c r="LQ27" s="13" t="str">
        <f t="shared" si="37"/>
        <v/>
      </c>
      <c r="LR27" s="13" t="str">
        <f t="shared" si="37"/>
        <v/>
      </c>
      <c r="LS27" s="13" t="str">
        <f t="shared" si="37"/>
        <v/>
      </c>
      <c r="LT27" s="13" t="str">
        <f t="shared" si="37"/>
        <v/>
      </c>
      <c r="LU27" s="13" t="str">
        <f t="shared" si="37"/>
        <v/>
      </c>
      <c r="LV27" s="13" t="str">
        <f t="shared" si="37"/>
        <v/>
      </c>
      <c r="LW27" s="13" t="str">
        <f t="shared" si="37"/>
        <v/>
      </c>
      <c r="LX27" s="13" t="str">
        <f t="shared" si="37"/>
        <v/>
      </c>
      <c r="LY27" s="13" t="str">
        <f t="shared" si="37"/>
        <v/>
      </c>
      <c r="LZ27" s="13" t="str">
        <f t="shared" si="37"/>
        <v/>
      </c>
      <c r="MA27" s="13" t="str">
        <f t="shared" si="37"/>
        <v/>
      </c>
      <c r="MB27" s="13" t="str">
        <f t="shared" si="37"/>
        <v/>
      </c>
      <c r="MC27" s="13" t="str">
        <f t="shared" si="37"/>
        <v/>
      </c>
      <c r="MD27" s="13" t="str">
        <f t="shared" si="37"/>
        <v/>
      </c>
      <c r="ME27" s="13" t="str">
        <f t="shared" si="37"/>
        <v/>
      </c>
      <c r="MF27" s="13" t="str">
        <f t="shared" si="37"/>
        <v/>
      </c>
      <c r="MG27" s="13" t="str">
        <f t="shared" si="37"/>
        <v/>
      </c>
    </row>
    <row r="28" spans="1:345" x14ac:dyDescent="0.2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V28" s="8" t="str">
        <f t="shared" si="19"/>
        <v>R3</v>
      </c>
      <c r="W28" s="38">
        <f t="shared" si="7"/>
        <v>40</v>
      </c>
      <c r="X28" s="38">
        <f t="shared" si="8"/>
        <v>40</v>
      </c>
      <c r="Y28" s="45" t="str">
        <f t="shared" si="9"/>
        <v>4040</v>
      </c>
      <c r="Z28" s="40">
        <f t="shared" si="10"/>
        <v>40</v>
      </c>
      <c r="AA28" s="49">
        <f t="shared" si="11"/>
        <v>0</v>
      </c>
      <c r="AB28" s="40">
        <f t="shared" si="12"/>
        <v>40</v>
      </c>
      <c r="AC28" s="49">
        <f t="shared" si="13"/>
        <v>0</v>
      </c>
      <c r="AE28" s="9" t="str">
        <f t="shared" si="20"/>
        <v xml:space="preserve">R3, </v>
      </c>
      <c r="AF28" s="9" t="str">
        <f t="shared" si="21"/>
        <v/>
      </c>
      <c r="AG28" s="9" t="str">
        <f t="shared" si="22"/>
        <v/>
      </c>
      <c r="AH28" s="9" t="str">
        <f t="shared" si="23"/>
        <v/>
      </c>
      <c r="AI28" s="9" t="str">
        <f t="shared" si="24"/>
        <v/>
      </c>
      <c r="AJ28" s="9" t="str">
        <f t="shared" si="25"/>
        <v/>
      </c>
      <c r="AK28" s="9" t="str">
        <f t="shared" si="26"/>
        <v/>
      </c>
      <c r="AL28" s="9" t="str">
        <f t="shared" si="27"/>
        <v/>
      </c>
      <c r="AM28" s="9" t="str">
        <f t="shared" si="28"/>
        <v/>
      </c>
      <c r="AN28" s="9" t="str">
        <f t="shared" si="29"/>
        <v/>
      </c>
      <c r="AO28" s="10" t="str">
        <f t="shared" si="30"/>
        <v xml:space="preserve">R3, </v>
      </c>
      <c r="AP28" s="11">
        <f t="shared" si="31"/>
        <v>4</v>
      </c>
      <c r="AR28" s="13">
        <f t="shared" si="34"/>
        <v>40</v>
      </c>
      <c r="AS28" s="13">
        <f t="shared" si="32"/>
        <v>40</v>
      </c>
      <c r="AT28" s="13" t="str">
        <f t="shared" si="33"/>
        <v/>
      </c>
      <c r="AU28" s="13" t="str">
        <f t="shared" ref="AU28:DF31" si="41">IF(AU57&gt;0,TEXT(AU$50,"R"&amp;0)&amp;", ","")</f>
        <v/>
      </c>
      <c r="AV28" s="13" t="str">
        <f t="shared" si="41"/>
        <v xml:space="preserve">R3, </v>
      </c>
      <c r="AW28" s="13" t="str">
        <f t="shared" si="41"/>
        <v/>
      </c>
      <c r="AX28" s="13" t="str">
        <f t="shared" si="41"/>
        <v/>
      </c>
      <c r="AY28" s="13" t="str">
        <f t="shared" si="41"/>
        <v/>
      </c>
      <c r="AZ28" s="13" t="str">
        <f t="shared" si="41"/>
        <v/>
      </c>
      <c r="BA28" s="13" t="str">
        <f t="shared" si="41"/>
        <v/>
      </c>
      <c r="BB28" s="13" t="str">
        <f t="shared" si="41"/>
        <v/>
      </c>
      <c r="BC28" s="13" t="str">
        <f t="shared" si="41"/>
        <v/>
      </c>
      <c r="BD28" s="13" t="str">
        <f t="shared" si="41"/>
        <v/>
      </c>
      <c r="BE28" s="13" t="str">
        <f t="shared" si="41"/>
        <v/>
      </c>
      <c r="BF28" s="13" t="str">
        <f t="shared" si="41"/>
        <v/>
      </c>
      <c r="BG28" s="13" t="str">
        <f t="shared" si="41"/>
        <v/>
      </c>
      <c r="BH28" s="13" t="str">
        <f t="shared" si="41"/>
        <v/>
      </c>
      <c r="BI28" s="13" t="str">
        <f t="shared" si="41"/>
        <v/>
      </c>
      <c r="BJ28" s="13" t="str">
        <f t="shared" si="41"/>
        <v/>
      </c>
      <c r="BK28" s="13" t="str">
        <f t="shared" si="41"/>
        <v/>
      </c>
      <c r="BL28" s="13" t="str">
        <f t="shared" si="41"/>
        <v/>
      </c>
      <c r="BM28" s="13" t="str">
        <f t="shared" si="41"/>
        <v/>
      </c>
      <c r="BN28" s="13" t="str">
        <f t="shared" si="41"/>
        <v/>
      </c>
      <c r="BO28" s="13" t="str">
        <f t="shared" si="41"/>
        <v/>
      </c>
      <c r="BP28" s="13" t="str">
        <f t="shared" si="41"/>
        <v/>
      </c>
      <c r="BQ28" s="13" t="str">
        <f t="shared" si="41"/>
        <v/>
      </c>
      <c r="BR28" s="13" t="str">
        <f t="shared" si="41"/>
        <v/>
      </c>
      <c r="BS28" s="13" t="str">
        <f t="shared" si="41"/>
        <v/>
      </c>
      <c r="BT28" s="13" t="str">
        <f t="shared" si="41"/>
        <v/>
      </c>
      <c r="BU28" s="13" t="str">
        <f t="shared" si="41"/>
        <v/>
      </c>
      <c r="BV28" s="13" t="str">
        <f t="shared" si="41"/>
        <v/>
      </c>
      <c r="BW28" s="13" t="str">
        <f t="shared" si="41"/>
        <v/>
      </c>
      <c r="BX28" s="13" t="str">
        <f t="shared" si="41"/>
        <v/>
      </c>
      <c r="BY28" s="13" t="str">
        <f t="shared" si="41"/>
        <v/>
      </c>
      <c r="BZ28" s="13" t="str">
        <f t="shared" si="41"/>
        <v/>
      </c>
      <c r="CA28" s="13" t="str">
        <f t="shared" si="41"/>
        <v/>
      </c>
      <c r="CB28" s="13" t="str">
        <f t="shared" si="41"/>
        <v/>
      </c>
      <c r="CC28" s="13" t="str">
        <f t="shared" si="41"/>
        <v/>
      </c>
      <c r="CD28" s="13" t="str">
        <f t="shared" si="41"/>
        <v/>
      </c>
      <c r="CE28" s="13" t="str">
        <f t="shared" si="41"/>
        <v/>
      </c>
      <c r="CF28" s="13" t="str">
        <f t="shared" si="41"/>
        <v/>
      </c>
      <c r="CG28" s="13" t="str">
        <f t="shared" si="41"/>
        <v/>
      </c>
      <c r="CH28" s="13" t="str">
        <f t="shared" si="41"/>
        <v/>
      </c>
      <c r="CI28" s="13" t="str">
        <f t="shared" si="41"/>
        <v/>
      </c>
      <c r="CJ28" s="13" t="str">
        <f t="shared" si="41"/>
        <v/>
      </c>
      <c r="CK28" s="13" t="str">
        <f t="shared" si="41"/>
        <v/>
      </c>
      <c r="CL28" s="13" t="str">
        <f t="shared" si="41"/>
        <v/>
      </c>
      <c r="CM28" s="13" t="str">
        <f t="shared" si="41"/>
        <v/>
      </c>
      <c r="CN28" s="13" t="str">
        <f t="shared" si="41"/>
        <v/>
      </c>
      <c r="CO28" s="13" t="str">
        <f t="shared" si="41"/>
        <v/>
      </c>
      <c r="CP28" s="13" t="str">
        <f t="shared" si="41"/>
        <v/>
      </c>
      <c r="CQ28" s="13" t="str">
        <f t="shared" si="41"/>
        <v/>
      </c>
      <c r="CR28" s="13" t="str">
        <f t="shared" si="41"/>
        <v/>
      </c>
      <c r="CS28" s="13" t="str">
        <f t="shared" si="41"/>
        <v/>
      </c>
      <c r="CT28" s="13" t="str">
        <f t="shared" si="41"/>
        <v/>
      </c>
      <c r="CU28" s="13" t="str">
        <f t="shared" si="41"/>
        <v/>
      </c>
      <c r="CV28" s="13" t="str">
        <f t="shared" si="41"/>
        <v/>
      </c>
      <c r="CW28" s="13" t="str">
        <f t="shared" si="41"/>
        <v/>
      </c>
      <c r="CX28" s="13" t="str">
        <f t="shared" si="41"/>
        <v/>
      </c>
      <c r="CY28" s="13" t="str">
        <f t="shared" si="41"/>
        <v/>
      </c>
      <c r="CZ28" s="13" t="str">
        <f t="shared" si="41"/>
        <v/>
      </c>
      <c r="DA28" s="13" t="str">
        <f t="shared" si="41"/>
        <v/>
      </c>
      <c r="DB28" s="13" t="str">
        <f t="shared" si="41"/>
        <v/>
      </c>
      <c r="DC28" s="13" t="str">
        <f t="shared" si="41"/>
        <v/>
      </c>
      <c r="DD28" s="13" t="str">
        <f t="shared" si="41"/>
        <v/>
      </c>
      <c r="DE28" s="13" t="str">
        <f t="shared" si="41"/>
        <v/>
      </c>
      <c r="DF28" s="13" t="str">
        <f t="shared" si="41"/>
        <v/>
      </c>
      <c r="DG28" s="13" t="str">
        <f t="shared" si="40"/>
        <v/>
      </c>
      <c r="DH28" s="13" t="str">
        <f t="shared" si="40"/>
        <v/>
      </c>
      <c r="DI28" s="13" t="str">
        <f t="shared" si="40"/>
        <v/>
      </c>
      <c r="DJ28" s="13" t="str">
        <f t="shared" si="40"/>
        <v/>
      </c>
      <c r="DK28" s="13" t="str">
        <f t="shared" si="40"/>
        <v/>
      </c>
      <c r="DL28" s="13" t="str">
        <f t="shared" si="40"/>
        <v/>
      </c>
      <c r="DM28" s="13" t="str">
        <f t="shared" si="40"/>
        <v/>
      </c>
      <c r="DN28" s="13" t="str">
        <f t="shared" si="40"/>
        <v/>
      </c>
      <c r="DO28" s="13" t="str">
        <f t="shared" si="40"/>
        <v/>
      </c>
      <c r="DP28" s="13" t="str">
        <f t="shared" si="40"/>
        <v/>
      </c>
      <c r="DQ28" s="13" t="str">
        <f t="shared" si="40"/>
        <v/>
      </c>
      <c r="DR28" s="13" t="str">
        <f t="shared" si="40"/>
        <v/>
      </c>
      <c r="DS28" s="13" t="str">
        <f t="shared" si="40"/>
        <v/>
      </c>
      <c r="DT28" s="13" t="str">
        <f t="shared" si="40"/>
        <v/>
      </c>
      <c r="DU28" s="13" t="str">
        <f t="shared" si="40"/>
        <v/>
      </c>
      <c r="DV28" s="13" t="str">
        <f t="shared" si="40"/>
        <v/>
      </c>
      <c r="DW28" s="13" t="str">
        <f t="shared" si="40"/>
        <v/>
      </c>
      <c r="DX28" s="13" t="str">
        <f t="shared" si="40"/>
        <v/>
      </c>
      <c r="DY28" s="13" t="str">
        <f t="shared" si="40"/>
        <v/>
      </c>
      <c r="DZ28" s="13" t="str">
        <f t="shared" si="40"/>
        <v/>
      </c>
      <c r="EA28" s="13" t="str">
        <f t="shared" si="40"/>
        <v/>
      </c>
      <c r="EB28" s="13" t="str">
        <f t="shared" si="40"/>
        <v/>
      </c>
      <c r="EC28" s="13" t="str">
        <f t="shared" si="40"/>
        <v/>
      </c>
      <c r="ED28" s="13" t="str">
        <f t="shared" si="40"/>
        <v/>
      </c>
      <c r="EE28" s="13" t="str">
        <f t="shared" si="40"/>
        <v/>
      </c>
      <c r="EF28" s="13" t="str">
        <f t="shared" si="40"/>
        <v/>
      </c>
      <c r="EG28" s="13" t="str">
        <f t="shared" si="40"/>
        <v/>
      </c>
      <c r="EH28" s="13" t="str">
        <f t="shared" si="40"/>
        <v/>
      </c>
      <c r="EI28" s="13" t="str">
        <f t="shared" si="40"/>
        <v/>
      </c>
      <c r="EJ28" s="13" t="str">
        <f t="shared" si="40"/>
        <v/>
      </c>
      <c r="EK28" s="13" t="str">
        <f t="shared" si="40"/>
        <v/>
      </c>
      <c r="EL28" s="13" t="str">
        <f t="shared" si="40"/>
        <v/>
      </c>
      <c r="EM28" s="13" t="str">
        <f t="shared" si="40"/>
        <v/>
      </c>
      <c r="EN28" s="13" t="str">
        <f t="shared" si="40"/>
        <v/>
      </c>
      <c r="EO28" s="13" t="str">
        <f t="shared" si="40"/>
        <v/>
      </c>
      <c r="EP28" s="13" t="str">
        <f t="shared" si="40"/>
        <v/>
      </c>
      <c r="EQ28" s="13" t="str">
        <f t="shared" si="40"/>
        <v/>
      </c>
      <c r="ER28" s="13" t="str">
        <f t="shared" si="40"/>
        <v/>
      </c>
      <c r="ES28" s="13" t="str">
        <f t="shared" si="40"/>
        <v/>
      </c>
      <c r="ET28" s="13" t="str">
        <f t="shared" si="40"/>
        <v/>
      </c>
      <c r="EU28" s="13" t="str">
        <f t="shared" si="40"/>
        <v/>
      </c>
      <c r="EV28" s="13" t="str">
        <f t="shared" si="40"/>
        <v/>
      </c>
      <c r="EW28" s="13" t="str">
        <f t="shared" si="40"/>
        <v/>
      </c>
      <c r="EX28" s="13" t="str">
        <f t="shared" si="40"/>
        <v/>
      </c>
      <c r="EY28" s="13" t="str">
        <f t="shared" si="40"/>
        <v/>
      </c>
      <c r="EZ28" s="13" t="str">
        <f t="shared" si="40"/>
        <v/>
      </c>
      <c r="FA28" s="13" t="str">
        <f t="shared" si="40"/>
        <v/>
      </c>
      <c r="FB28" s="13" t="str">
        <f t="shared" si="40"/>
        <v/>
      </c>
      <c r="FC28" s="13" t="str">
        <f t="shared" si="40"/>
        <v/>
      </c>
      <c r="FD28" s="13" t="str">
        <f t="shared" si="40"/>
        <v/>
      </c>
      <c r="FE28" s="13" t="str">
        <f t="shared" si="40"/>
        <v/>
      </c>
      <c r="FF28" s="13" t="str">
        <f t="shared" si="40"/>
        <v/>
      </c>
      <c r="FG28" s="13" t="str">
        <f t="shared" si="40"/>
        <v/>
      </c>
      <c r="FH28" s="13" t="str">
        <f t="shared" si="40"/>
        <v/>
      </c>
      <c r="FI28" s="13" t="str">
        <f t="shared" si="40"/>
        <v/>
      </c>
      <c r="FJ28" s="13" t="str">
        <f t="shared" si="40"/>
        <v/>
      </c>
      <c r="FK28" s="13" t="str">
        <f t="shared" si="40"/>
        <v/>
      </c>
      <c r="FL28" s="13" t="str">
        <f t="shared" si="40"/>
        <v/>
      </c>
      <c r="FM28" s="13" t="str">
        <f t="shared" si="40"/>
        <v/>
      </c>
      <c r="FN28" s="13" t="str">
        <f t="shared" si="40"/>
        <v/>
      </c>
      <c r="FO28" s="13" t="str">
        <f t="shared" si="40"/>
        <v/>
      </c>
      <c r="FP28" s="13" t="str">
        <f t="shared" si="40"/>
        <v/>
      </c>
      <c r="FQ28" s="13" t="str">
        <f t="shared" si="40"/>
        <v/>
      </c>
      <c r="FR28" s="13" t="str">
        <f t="shared" si="38"/>
        <v/>
      </c>
      <c r="FS28" s="13" t="str">
        <f t="shared" si="36"/>
        <v/>
      </c>
      <c r="FT28" s="13" t="str">
        <f t="shared" si="36"/>
        <v/>
      </c>
      <c r="FU28" s="13" t="str">
        <f t="shared" si="36"/>
        <v/>
      </c>
      <c r="FV28" s="13" t="str">
        <f t="shared" si="36"/>
        <v/>
      </c>
      <c r="FW28" s="13" t="str">
        <f t="shared" si="36"/>
        <v/>
      </c>
      <c r="FX28" s="13" t="str">
        <f t="shared" si="36"/>
        <v/>
      </c>
      <c r="FY28" s="13" t="str">
        <f t="shared" si="36"/>
        <v/>
      </c>
      <c r="FZ28" s="13" t="str">
        <f t="shared" si="36"/>
        <v/>
      </c>
      <c r="GA28" s="13" t="str">
        <f t="shared" si="36"/>
        <v/>
      </c>
      <c r="GB28" s="13" t="str">
        <f t="shared" si="36"/>
        <v/>
      </c>
      <c r="GC28" s="13" t="str">
        <f t="shared" si="36"/>
        <v/>
      </c>
      <c r="GD28" s="13" t="str">
        <f t="shared" si="36"/>
        <v/>
      </c>
      <c r="GE28" s="13" t="str">
        <f t="shared" si="36"/>
        <v/>
      </c>
      <c r="GF28" s="13" t="str">
        <f t="shared" si="36"/>
        <v/>
      </c>
      <c r="GG28" s="13" t="str">
        <f t="shared" si="36"/>
        <v/>
      </c>
      <c r="GH28" s="13" t="str">
        <f t="shared" si="36"/>
        <v/>
      </c>
      <c r="GI28" s="13" t="str">
        <f t="shared" si="36"/>
        <v/>
      </c>
      <c r="GJ28" s="13" t="str">
        <f t="shared" si="36"/>
        <v/>
      </c>
      <c r="GK28" s="13" t="str">
        <f t="shared" si="36"/>
        <v/>
      </c>
      <c r="GL28" s="13" t="str">
        <f t="shared" si="36"/>
        <v/>
      </c>
      <c r="GM28" s="13" t="str">
        <f t="shared" si="36"/>
        <v/>
      </c>
      <c r="GN28" s="13" t="str">
        <f t="shared" si="36"/>
        <v/>
      </c>
      <c r="GO28" s="13" t="str">
        <f t="shared" si="36"/>
        <v/>
      </c>
      <c r="GP28" s="13" t="str">
        <f t="shared" si="36"/>
        <v/>
      </c>
      <c r="GQ28" s="13" t="str">
        <f t="shared" si="36"/>
        <v/>
      </c>
      <c r="GR28" s="13" t="str">
        <f t="shared" si="36"/>
        <v/>
      </c>
      <c r="GS28" s="13" t="str">
        <f t="shared" si="36"/>
        <v/>
      </c>
      <c r="GT28" s="13" t="str">
        <f t="shared" si="36"/>
        <v/>
      </c>
      <c r="GU28" s="13" t="str">
        <f t="shared" si="36"/>
        <v/>
      </c>
      <c r="GV28" s="13" t="str">
        <f t="shared" si="36"/>
        <v/>
      </c>
      <c r="GW28" s="13" t="str">
        <f t="shared" si="36"/>
        <v/>
      </c>
      <c r="GX28" s="13" t="str">
        <f t="shared" si="36"/>
        <v/>
      </c>
      <c r="GY28" s="13" t="str">
        <f t="shared" si="36"/>
        <v/>
      </c>
      <c r="GZ28" s="13" t="str">
        <f t="shared" si="36"/>
        <v/>
      </c>
      <c r="HA28" s="13" t="str">
        <f t="shared" si="36"/>
        <v/>
      </c>
      <c r="HB28" s="13" t="str">
        <f t="shared" si="36"/>
        <v/>
      </c>
      <c r="HC28" s="13" t="str">
        <f t="shared" si="36"/>
        <v/>
      </c>
      <c r="HD28" s="13" t="str">
        <f t="shared" si="36"/>
        <v/>
      </c>
      <c r="HE28" s="13" t="str">
        <f t="shared" si="36"/>
        <v/>
      </c>
      <c r="HF28" s="13" t="str">
        <f t="shared" si="36"/>
        <v/>
      </c>
      <c r="HG28" s="13" t="str">
        <f t="shared" si="36"/>
        <v/>
      </c>
      <c r="HH28" s="13" t="str">
        <f t="shared" si="36"/>
        <v/>
      </c>
      <c r="HI28" s="13" t="str">
        <f t="shared" si="36"/>
        <v/>
      </c>
      <c r="HJ28" s="13" t="str">
        <f t="shared" si="36"/>
        <v/>
      </c>
      <c r="HK28" s="13" t="str">
        <f t="shared" si="36"/>
        <v/>
      </c>
      <c r="HL28" s="13" t="str">
        <f t="shared" si="36"/>
        <v/>
      </c>
      <c r="HM28" s="13" t="str">
        <f t="shared" si="36"/>
        <v/>
      </c>
      <c r="HN28" s="13" t="str">
        <f t="shared" si="36"/>
        <v/>
      </c>
      <c r="HO28" s="13" t="str">
        <f t="shared" si="36"/>
        <v/>
      </c>
      <c r="HP28" s="13" t="str">
        <f t="shared" si="36"/>
        <v/>
      </c>
      <c r="HQ28" s="13" t="str">
        <f t="shared" si="36"/>
        <v/>
      </c>
      <c r="HR28" s="13" t="str">
        <f t="shared" si="36"/>
        <v/>
      </c>
      <c r="HS28" s="13" t="str">
        <f t="shared" si="36"/>
        <v/>
      </c>
      <c r="HT28" s="13" t="str">
        <f t="shared" si="36"/>
        <v/>
      </c>
      <c r="HU28" s="13" t="str">
        <f t="shared" si="36"/>
        <v/>
      </c>
      <c r="HV28" s="13" t="str">
        <f t="shared" si="36"/>
        <v/>
      </c>
      <c r="HW28" s="13" t="str">
        <f t="shared" si="36"/>
        <v/>
      </c>
      <c r="HX28" s="13" t="str">
        <f t="shared" si="36"/>
        <v/>
      </c>
      <c r="HY28" s="13" t="str">
        <f t="shared" si="36"/>
        <v/>
      </c>
      <c r="HZ28" s="13" t="str">
        <f t="shared" si="36"/>
        <v/>
      </c>
      <c r="IA28" s="13" t="str">
        <f t="shared" si="36"/>
        <v/>
      </c>
      <c r="IB28" s="13" t="str">
        <f t="shared" si="36"/>
        <v/>
      </c>
      <c r="IC28" s="13" t="str">
        <f t="shared" si="36"/>
        <v/>
      </c>
      <c r="ID28" s="13" t="str">
        <f t="shared" si="16"/>
        <v/>
      </c>
      <c r="IE28" s="13" t="str">
        <f t="shared" si="39"/>
        <v/>
      </c>
      <c r="IF28" s="13" t="str">
        <f t="shared" si="39"/>
        <v/>
      </c>
      <c r="IG28" s="13" t="str">
        <f t="shared" si="39"/>
        <v/>
      </c>
      <c r="IH28" s="13" t="str">
        <f t="shared" si="39"/>
        <v/>
      </c>
      <c r="II28" s="13" t="str">
        <f t="shared" si="39"/>
        <v/>
      </c>
      <c r="IJ28" s="13" t="str">
        <f t="shared" si="39"/>
        <v/>
      </c>
      <c r="IK28" s="13" t="str">
        <f t="shared" si="39"/>
        <v/>
      </c>
      <c r="IL28" s="13" t="str">
        <f t="shared" si="39"/>
        <v/>
      </c>
      <c r="IM28" s="13" t="str">
        <f t="shared" si="39"/>
        <v/>
      </c>
      <c r="IN28" s="13" t="str">
        <f t="shared" si="39"/>
        <v/>
      </c>
      <c r="IO28" s="13" t="str">
        <f t="shared" si="39"/>
        <v/>
      </c>
      <c r="IP28" s="13" t="str">
        <f t="shared" si="39"/>
        <v/>
      </c>
      <c r="IQ28" s="13" t="str">
        <f t="shared" si="39"/>
        <v/>
      </c>
      <c r="IR28" s="13" t="str">
        <f t="shared" si="39"/>
        <v/>
      </c>
      <c r="IS28" s="13" t="str">
        <f t="shared" si="39"/>
        <v/>
      </c>
      <c r="IT28" s="13" t="str">
        <f t="shared" si="39"/>
        <v/>
      </c>
      <c r="IU28" s="13" t="str">
        <f t="shared" si="39"/>
        <v/>
      </c>
      <c r="IV28" s="13" t="str">
        <f t="shared" si="39"/>
        <v/>
      </c>
      <c r="IW28" s="13" t="str">
        <f t="shared" si="39"/>
        <v/>
      </c>
      <c r="IX28" s="13" t="str">
        <f t="shared" si="39"/>
        <v/>
      </c>
      <c r="IY28" s="13" t="str">
        <f t="shared" si="39"/>
        <v/>
      </c>
      <c r="IZ28" s="13" t="str">
        <f t="shared" si="39"/>
        <v/>
      </c>
      <c r="JA28" s="13" t="str">
        <f t="shared" si="39"/>
        <v/>
      </c>
      <c r="JB28" s="13" t="str">
        <f t="shared" si="39"/>
        <v/>
      </c>
      <c r="JC28" s="13" t="str">
        <f t="shared" si="39"/>
        <v/>
      </c>
      <c r="JD28" s="13" t="str">
        <f t="shared" si="39"/>
        <v/>
      </c>
      <c r="JE28" s="13" t="str">
        <f t="shared" si="39"/>
        <v/>
      </c>
      <c r="JF28" s="13" t="str">
        <f t="shared" si="39"/>
        <v/>
      </c>
      <c r="JG28" s="13" t="str">
        <f t="shared" si="39"/>
        <v/>
      </c>
      <c r="JH28" s="13" t="str">
        <f t="shared" si="39"/>
        <v/>
      </c>
      <c r="JI28" s="13" t="str">
        <f t="shared" si="39"/>
        <v/>
      </c>
      <c r="JJ28" s="13" t="str">
        <f t="shared" si="39"/>
        <v/>
      </c>
      <c r="JK28" s="13" t="str">
        <f t="shared" si="39"/>
        <v/>
      </c>
      <c r="JL28" s="13" t="str">
        <f t="shared" si="39"/>
        <v/>
      </c>
      <c r="JM28" s="13" t="str">
        <f t="shared" si="39"/>
        <v/>
      </c>
      <c r="JN28" s="13" t="str">
        <f t="shared" si="39"/>
        <v/>
      </c>
      <c r="JO28" s="13" t="str">
        <f t="shared" si="39"/>
        <v/>
      </c>
      <c r="JP28" s="13" t="str">
        <f t="shared" si="39"/>
        <v/>
      </c>
      <c r="JQ28" s="13" t="str">
        <f t="shared" si="39"/>
        <v/>
      </c>
      <c r="JR28" s="13" t="str">
        <f t="shared" si="39"/>
        <v/>
      </c>
      <c r="JS28" s="13" t="str">
        <f t="shared" si="39"/>
        <v/>
      </c>
      <c r="JT28" s="13" t="str">
        <f t="shared" si="39"/>
        <v/>
      </c>
      <c r="JU28" s="13" t="str">
        <f t="shared" si="39"/>
        <v/>
      </c>
      <c r="JV28" s="13" t="str">
        <f t="shared" si="39"/>
        <v/>
      </c>
      <c r="JW28" s="13" t="str">
        <f t="shared" si="39"/>
        <v/>
      </c>
      <c r="JX28" s="13" t="str">
        <f t="shared" si="39"/>
        <v/>
      </c>
      <c r="JY28" s="13" t="str">
        <f t="shared" si="39"/>
        <v/>
      </c>
      <c r="JZ28" s="13" t="str">
        <f t="shared" si="39"/>
        <v/>
      </c>
      <c r="KA28" s="13" t="str">
        <f t="shared" si="39"/>
        <v/>
      </c>
      <c r="KB28" s="13" t="str">
        <f t="shared" si="39"/>
        <v/>
      </c>
      <c r="KC28" s="13" t="str">
        <f t="shared" si="39"/>
        <v/>
      </c>
      <c r="KD28" s="13" t="str">
        <f t="shared" si="39"/>
        <v/>
      </c>
      <c r="KE28" s="13" t="str">
        <f t="shared" si="39"/>
        <v/>
      </c>
      <c r="KF28" s="13" t="str">
        <f t="shared" si="39"/>
        <v/>
      </c>
      <c r="KG28" s="13" t="str">
        <f t="shared" si="39"/>
        <v/>
      </c>
      <c r="KH28" s="13" t="str">
        <f t="shared" si="39"/>
        <v/>
      </c>
      <c r="KI28" s="13" t="str">
        <f t="shared" si="39"/>
        <v/>
      </c>
      <c r="KJ28" s="13" t="str">
        <f t="shared" si="39"/>
        <v/>
      </c>
      <c r="KK28" s="13" t="str">
        <f t="shared" si="39"/>
        <v/>
      </c>
      <c r="KL28" s="13" t="str">
        <f t="shared" si="39"/>
        <v/>
      </c>
      <c r="KM28" s="13" t="str">
        <f t="shared" si="39"/>
        <v/>
      </c>
      <c r="KN28" s="13" t="str">
        <f t="shared" si="39"/>
        <v/>
      </c>
      <c r="KO28" s="13" t="str">
        <f t="shared" si="39"/>
        <v/>
      </c>
      <c r="KP28" s="13" t="str">
        <f t="shared" si="39"/>
        <v/>
      </c>
      <c r="KQ28" s="13" t="str">
        <f t="shared" si="37"/>
        <v/>
      </c>
      <c r="KR28" s="13" t="str">
        <f t="shared" si="37"/>
        <v/>
      </c>
      <c r="KS28" s="13" t="str">
        <f t="shared" si="37"/>
        <v/>
      </c>
      <c r="KT28" s="13" t="str">
        <f t="shared" si="37"/>
        <v/>
      </c>
      <c r="KU28" s="13" t="str">
        <f t="shared" si="37"/>
        <v/>
      </c>
      <c r="KV28" s="13" t="str">
        <f t="shared" si="37"/>
        <v/>
      </c>
      <c r="KW28" s="13" t="str">
        <f t="shared" si="37"/>
        <v/>
      </c>
      <c r="KX28" s="13" t="str">
        <f t="shared" si="37"/>
        <v/>
      </c>
      <c r="KY28" s="13" t="str">
        <f t="shared" si="37"/>
        <v/>
      </c>
      <c r="KZ28" s="13" t="str">
        <f t="shared" si="37"/>
        <v/>
      </c>
      <c r="LA28" s="13" t="str">
        <f t="shared" si="37"/>
        <v/>
      </c>
      <c r="LB28" s="13" t="str">
        <f t="shared" si="37"/>
        <v/>
      </c>
      <c r="LC28" s="13" t="str">
        <f t="shared" si="37"/>
        <v/>
      </c>
      <c r="LD28" s="13" t="str">
        <f t="shared" si="37"/>
        <v/>
      </c>
      <c r="LE28" s="13" t="str">
        <f t="shared" si="37"/>
        <v/>
      </c>
      <c r="LF28" s="13" t="str">
        <f t="shared" si="37"/>
        <v/>
      </c>
      <c r="LG28" s="13" t="str">
        <f t="shared" si="37"/>
        <v/>
      </c>
      <c r="LH28" s="13" t="str">
        <f t="shared" si="37"/>
        <v/>
      </c>
      <c r="LI28" s="13" t="str">
        <f t="shared" si="37"/>
        <v/>
      </c>
      <c r="LJ28" s="13" t="str">
        <f t="shared" si="37"/>
        <v/>
      </c>
      <c r="LK28" s="13" t="str">
        <f t="shared" si="37"/>
        <v/>
      </c>
      <c r="LL28" s="13" t="str">
        <f t="shared" si="37"/>
        <v/>
      </c>
      <c r="LM28" s="13" t="str">
        <f t="shared" si="37"/>
        <v/>
      </c>
      <c r="LN28" s="13" t="str">
        <f t="shared" si="37"/>
        <v/>
      </c>
      <c r="LO28" s="13" t="str">
        <f t="shared" si="37"/>
        <v/>
      </c>
      <c r="LP28" s="13" t="str">
        <f t="shared" si="37"/>
        <v/>
      </c>
      <c r="LQ28" s="13" t="str">
        <f t="shared" si="37"/>
        <v/>
      </c>
      <c r="LR28" s="13" t="str">
        <f t="shared" si="37"/>
        <v/>
      </c>
      <c r="LS28" s="13" t="str">
        <f t="shared" si="37"/>
        <v/>
      </c>
      <c r="LT28" s="13" t="str">
        <f t="shared" si="37"/>
        <v/>
      </c>
      <c r="LU28" s="13" t="str">
        <f t="shared" si="37"/>
        <v/>
      </c>
      <c r="LV28" s="13" t="str">
        <f t="shared" si="37"/>
        <v/>
      </c>
      <c r="LW28" s="13" t="str">
        <f t="shared" si="37"/>
        <v/>
      </c>
      <c r="LX28" s="13" t="str">
        <f t="shared" si="37"/>
        <v/>
      </c>
      <c r="LY28" s="13" t="str">
        <f t="shared" si="37"/>
        <v/>
      </c>
      <c r="LZ28" s="13" t="str">
        <f t="shared" si="37"/>
        <v/>
      </c>
      <c r="MA28" s="13" t="str">
        <f t="shared" si="37"/>
        <v/>
      </c>
      <c r="MB28" s="13" t="str">
        <f t="shared" si="37"/>
        <v/>
      </c>
      <c r="MC28" s="13" t="str">
        <f t="shared" si="37"/>
        <v/>
      </c>
      <c r="MD28" s="13" t="str">
        <f t="shared" si="37"/>
        <v/>
      </c>
      <c r="ME28" s="13" t="str">
        <f t="shared" si="37"/>
        <v/>
      </c>
      <c r="MF28" s="13" t="str">
        <f t="shared" si="37"/>
        <v/>
      </c>
      <c r="MG28" s="13" t="str">
        <f t="shared" si="37"/>
        <v/>
      </c>
    </row>
    <row r="29" spans="1:345" x14ac:dyDescent="0.2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V29" s="8" t="str">
        <f t="shared" si="19"/>
        <v/>
      </c>
      <c r="W29" s="38" t="e">
        <f t="shared" si="7"/>
        <v>#N/A</v>
      </c>
      <c r="X29" s="38" t="e">
        <f t="shared" si="8"/>
        <v>#N/A</v>
      </c>
      <c r="Y29" s="45" t="str">
        <f t="shared" si="9"/>
        <v/>
      </c>
      <c r="Z29" s="40" t="str">
        <f t="shared" si="10"/>
        <v/>
      </c>
      <c r="AA29" s="49" t="e">
        <f t="shared" si="11"/>
        <v>#N/A</v>
      </c>
      <c r="AB29" s="40" t="str">
        <f t="shared" si="12"/>
        <v/>
      </c>
      <c r="AC29" s="49" t="e">
        <f t="shared" si="13"/>
        <v>#N/A</v>
      </c>
      <c r="AE29" s="9" t="str">
        <f t="shared" si="20"/>
        <v/>
      </c>
      <c r="AF29" s="9" t="str">
        <f t="shared" si="21"/>
        <v/>
      </c>
      <c r="AG29" s="9" t="str">
        <f t="shared" si="22"/>
        <v/>
      </c>
      <c r="AH29" s="9" t="str">
        <f t="shared" si="23"/>
        <v/>
      </c>
      <c r="AI29" s="9" t="str">
        <f t="shared" si="24"/>
        <v/>
      </c>
      <c r="AJ29" s="9" t="str">
        <f t="shared" si="25"/>
        <v/>
      </c>
      <c r="AK29" s="9" t="str">
        <f t="shared" si="26"/>
        <v/>
      </c>
      <c r="AL29" s="9" t="str">
        <f t="shared" si="27"/>
        <v/>
      </c>
      <c r="AM29" s="9" t="str">
        <f t="shared" si="28"/>
        <v/>
      </c>
      <c r="AN29" s="9" t="str">
        <f t="shared" si="29"/>
        <v/>
      </c>
      <c r="AO29" s="10" t="str">
        <f t="shared" si="30"/>
        <v/>
      </c>
      <c r="AP29" s="11">
        <f t="shared" si="31"/>
        <v>0</v>
      </c>
      <c r="AR29" s="13" t="str">
        <f t="shared" si="34"/>
        <v/>
      </c>
      <c r="AS29" s="13" t="str">
        <f t="shared" si="32"/>
        <v/>
      </c>
      <c r="AT29" s="13" t="str">
        <f t="shared" si="33"/>
        <v/>
      </c>
      <c r="AU29" s="13" t="str">
        <f t="shared" si="41"/>
        <v/>
      </c>
      <c r="AV29" s="13" t="str">
        <f t="shared" si="41"/>
        <v/>
      </c>
      <c r="AW29" s="13" t="str">
        <f t="shared" si="41"/>
        <v/>
      </c>
      <c r="AX29" s="13" t="str">
        <f t="shared" si="41"/>
        <v/>
      </c>
      <c r="AY29" s="13" t="str">
        <f t="shared" si="41"/>
        <v/>
      </c>
      <c r="AZ29" s="13" t="str">
        <f t="shared" si="41"/>
        <v/>
      </c>
      <c r="BA29" s="13" t="str">
        <f t="shared" si="41"/>
        <v/>
      </c>
      <c r="BB29" s="13" t="str">
        <f t="shared" si="41"/>
        <v/>
      </c>
      <c r="BC29" s="13" t="str">
        <f t="shared" si="41"/>
        <v/>
      </c>
      <c r="BD29" s="13" t="str">
        <f t="shared" si="41"/>
        <v/>
      </c>
      <c r="BE29" s="13" t="str">
        <f t="shared" si="41"/>
        <v/>
      </c>
      <c r="BF29" s="13" t="str">
        <f t="shared" si="41"/>
        <v/>
      </c>
      <c r="BG29" s="13" t="str">
        <f t="shared" si="41"/>
        <v/>
      </c>
      <c r="BH29" s="13" t="str">
        <f t="shared" si="41"/>
        <v/>
      </c>
      <c r="BI29" s="13" t="str">
        <f t="shared" si="41"/>
        <v/>
      </c>
      <c r="BJ29" s="13" t="str">
        <f t="shared" si="41"/>
        <v/>
      </c>
      <c r="BK29" s="13" t="str">
        <f t="shared" si="41"/>
        <v/>
      </c>
      <c r="BL29" s="13" t="str">
        <f t="shared" si="41"/>
        <v/>
      </c>
      <c r="BM29" s="13" t="str">
        <f t="shared" si="41"/>
        <v/>
      </c>
      <c r="BN29" s="13" t="str">
        <f t="shared" si="41"/>
        <v/>
      </c>
      <c r="BO29" s="13" t="str">
        <f t="shared" si="41"/>
        <v/>
      </c>
      <c r="BP29" s="13" t="str">
        <f t="shared" si="41"/>
        <v/>
      </c>
      <c r="BQ29" s="13" t="str">
        <f t="shared" si="41"/>
        <v/>
      </c>
      <c r="BR29" s="13" t="str">
        <f t="shared" si="41"/>
        <v/>
      </c>
      <c r="BS29" s="13" t="str">
        <f t="shared" si="41"/>
        <v/>
      </c>
      <c r="BT29" s="13" t="str">
        <f t="shared" si="41"/>
        <v/>
      </c>
      <c r="BU29" s="13" t="str">
        <f t="shared" si="41"/>
        <v/>
      </c>
      <c r="BV29" s="13" t="str">
        <f t="shared" si="41"/>
        <v/>
      </c>
      <c r="BW29" s="13" t="str">
        <f t="shared" si="41"/>
        <v/>
      </c>
      <c r="BX29" s="13" t="str">
        <f t="shared" si="41"/>
        <v/>
      </c>
      <c r="BY29" s="13" t="str">
        <f t="shared" si="41"/>
        <v/>
      </c>
      <c r="BZ29" s="13" t="str">
        <f t="shared" si="41"/>
        <v/>
      </c>
      <c r="CA29" s="13" t="str">
        <f t="shared" si="41"/>
        <v/>
      </c>
      <c r="CB29" s="13" t="str">
        <f t="shared" si="41"/>
        <v/>
      </c>
      <c r="CC29" s="13" t="str">
        <f t="shared" si="41"/>
        <v/>
      </c>
      <c r="CD29" s="13" t="str">
        <f t="shared" si="41"/>
        <v/>
      </c>
      <c r="CE29" s="13" t="str">
        <f t="shared" si="41"/>
        <v/>
      </c>
      <c r="CF29" s="13" t="str">
        <f t="shared" si="41"/>
        <v/>
      </c>
      <c r="CG29" s="13" t="str">
        <f t="shared" si="41"/>
        <v/>
      </c>
      <c r="CH29" s="13" t="str">
        <f t="shared" si="41"/>
        <v/>
      </c>
      <c r="CI29" s="13" t="str">
        <f t="shared" si="41"/>
        <v/>
      </c>
      <c r="CJ29" s="13" t="str">
        <f t="shared" si="41"/>
        <v/>
      </c>
      <c r="CK29" s="13" t="str">
        <f t="shared" si="41"/>
        <v/>
      </c>
      <c r="CL29" s="13" t="str">
        <f t="shared" si="41"/>
        <v/>
      </c>
      <c r="CM29" s="13" t="str">
        <f t="shared" si="41"/>
        <v/>
      </c>
      <c r="CN29" s="13" t="str">
        <f t="shared" si="41"/>
        <v/>
      </c>
      <c r="CO29" s="13" t="str">
        <f t="shared" si="41"/>
        <v/>
      </c>
      <c r="CP29" s="13" t="str">
        <f t="shared" si="41"/>
        <v/>
      </c>
      <c r="CQ29" s="13" t="str">
        <f t="shared" si="41"/>
        <v/>
      </c>
      <c r="CR29" s="13" t="str">
        <f t="shared" si="41"/>
        <v/>
      </c>
      <c r="CS29" s="13" t="str">
        <f t="shared" si="41"/>
        <v/>
      </c>
      <c r="CT29" s="13" t="str">
        <f t="shared" si="41"/>
        <v/>
      </c>
      <c r="CU29" s="13" t="str">
        <f t="shared" si="41"/>
        <v/>
      </c>
      <c r="CV29" s="13" t="str">
        <f t="shared" si="41"/>
        <v/>
      </c>
      <c r="CW29" s="13" t="str">
        <f t="shared" si="41"/>
        <v/>
      </c>
      <c r="CX29" s="13" t="str">
        <f t="shared" si="41"/>
        <v/>
      </c>
      <c r="CY29" s="13" t="str">
        <f t="shared" si="41"/>
        <v/>
      </c>
      <c r="CZ29" s="13" t="str">
        <f t="shared" si="41"/>
        <v/>
      </c>
      <c r="DA29" s="13" t="str">
        <f t="shared" si="41"/>
        <v/>
      </c>
      <c r="DB29" s="13" t="str">
        <f t="shared" si="41"/>
        <v/>
      </c>
      <c r="DC29" s="13" t="str">
        <f t="shared" si="41"/>
        <v/>
      </c>
      <c r="DD29" s="13" t="str">
        <f t="shared" si="41"/>
        <v/>
      </c>
      <c r="DE29" s="13" t="str">
        <f t="shared" si="41"/>
        <v/>
      </c>
      <c r="DF29" s="13" t="str">
        <f t="shared" si="41"/>
        <v/>
      </c>
      <c r="DG29" s="13" t="str">
        <f t="shared" si="40"/>
        <v/>
      </c>
      <c r="DH29" s="13" t="str">
        <f t="shared" si="40"/>
        <v/>
      </c>
      <c r="DI29" s="13" t="str">
        <f t="shared" si="40"/>
        <v/>
      </c>
      <c r="DJ29" s="13" t="str">
        <f t="shared" si="40"/>
        <v/>
      </c>
      <c r="DK29" s="13" t="str">
        <f t="shared" si="40"/>
        <v/>
      </c>
      <c r="DL29" s="13" t="str">
        <f t="shared" si="40"/>
        <v/>
      </c>
      <c r="DM29" s="13" t="str">
        <f t="shared" si="40"/>
        <v/>
      </c>
      <c r="DN29" s="13" t="str">
        <f t="shared" si="40"/>
        <v/>
      </c>
      <c r="DO29" s="13" t="str">
        <f t="shared" si="40"/>
        <v/>
      </c>
      <c r="DP29" s="13" t="str">
        <f t="shared" si="40"/>
        <v/>
      </c>
      <c r="DQ29" s="13" t="str">
        <f t="shared" si="40"/>
        <v/>
      </c>
      <c r="DR29" s="13" t="str">
        <f t="shared" si="40"/>
        <v/>
      </c>
      <c r="DS29" s="13" t="str">
        <f t="shared" si="40"/>
        <v/>
      </c>
      <c r="DT29" s="13" t="str">
        <f t="shared" si="40"/>
        <v/>
      </c>
      <c r="DU29" s="13" t="str">
        <f t="shared" si="40"/>
        <v/>
      </c>
      <c r="DV29" s="13" t="str">
        <f t="shared" si="40"/>
        <v/>
      </c>
      <c r="DW29" s="13" t="str">
        <f t="shared" si="40"/>
        <v/>
      </c>
      <c r="DX29" s="13" t="str">
        <f t="shared" si="40"/>
        <v/>
      </c>
      <c r="DY29" s="13" t="str">
        <f t="shared" si="40"/>
        <v/>
      </c>
      <c r="DZ29" s="13" t="str">
        <f t="shared" si="40"/>
        <v/>
      </c>
      <c r="EA29" s="13" t="str">
        <f t="shared" si="40"/>
        <v/>
      </c>
      <c r="EB29" s="13" t="str">
        <f t="shared" si="40"/>
        <v/>
      </c>
      <c r="EC29" s="13" t="str">
        <f t="shared" si="40"/>
        <v/>
      </c>
      <c r="ED29" s="13" t="str">
        <f t="shared" si="40"/>
        <v/>
      </c>
      <c r="EE29" s="13" t="str">
        <f t="shared" si="40"/>
        <v/>
      </c>
      <c r="EF29" s="13" t="str">
        <f t="shared" si="40"/>
        <v/>
      </c>
      <c r="EG29" s="13" t="str">
        <f t="shared" si="40"/>
        <v/>
      </c>
      <c r="EH29" s="13" t="str">
        <f t="shared" si="40"/>
        <v/>
      </c>
      <c r="EI29" s="13" t="str">
        <f t="shared" si="40"/>
        <v/>
      </c>
      <c r="EJ29" s="13" t="str">
        <f t="shared" si="40"/>
        <v/>
      </c>
      <c r="EK29" s="13" t="str">
        <f t="shared" si="40"/>
        <v/>
      </c>
      <c r="EL29" s="13" t="str">
        <f t="shared" si="40"/>
        <v/>
      </c>
      <c r="EM29" s="13" t="str">
        <f t="shared" si="40"/>
        <v/>
      </c>
      <c r="EN29" s="13" t="str">
        <f t="shared" si="40"/>
        <v/>
      </c>
      <c r="EO29" s="13" t="str">
        <f t="shared" si="40"/>
        <v/>
      </c>
      <c r="EP29" s="13" t="str">
        <f t="shared" si="40"/>
        <v/>
      </c>
      <c r="EQ29" s="13" t="str">
        <f t="shared" si="40"/>
        <v/>
      </c>
      <c r="ER29" s="13" t="str">
        <f t="shared" si="40"/>
        <v/>
      </c>
      <c r="ES29" s="13" t="str">
        <f t="shared" si="40"/>
        <v/>
      </c>
      <c r="ET29" s="13" t="str">
        <f t="shared" si="40"/>
        <v/>
      </c>
      <c r="EU29" s="13" t="str">
        <f t="shared" si="40"/>
        <v/>
      </c>
      <c r="EV29" s="13" t="str">
        <f t="shared" si="40"/>
        <v/>
      </c>
      <c r="EW29" s="13" t="str">
        <f t="shared" si="40"/>
        <v/>
      </c>
      <c r="EX29" s="13" t="str">
        <f t="shared" si="40"/>
        <v/>
      </c>
      <c r="EY29" s="13" t="str">
        <f t="shared" si="40"/>
        <v/>
      </c>
      <c r="EZ29" s="13" t="str">
        <f t="shared" si="40"/>
        <v/>
      </c>
      <c r="FA29" s="13" t="str">
        <f t="shared" si="40"/>
        <v/>
      </c>
      <c r="FB29" s="13" t="str">
        <f t="shared" si="40"/>
        <v/>
      </c>
      <c r="FC29" s="13" t="str">
        <f t="shared" si="40"/>
        <v/>
      </c>
      <c r="FD29" s="13" t="str">
        <f t="shared" si="40"/>
        <v/>
      </c>
      <c r="FE29" s="13" t="str">
        <f t="shared" si="40"/>
        <v/>
      </c>
      <c r="FF29" s="13" t="str">
        <f t="shared" si="40"/>
        <v/>
      </c>
      <c r="FG29" s="13" t="str">
        <f t="shared" si="40"/>
        <v/>
      </c>
      <c r="FH29" s="13" t="str">
        <f t="shared" si="40"/>
        <v/>
      </c>
      <c r="FI29" s="13" t="str">
        <f t="shared" si="40"/>
        <v/>
      </c>
      <c r="FJ29" s="13" t="str">
        <f t="shared" si="40"/>
        <v/>
      </c>
      <c r="FK29" s="13" t="str">
        <f t="shared" si="40"/>
        <v/>
      </c>
      <c r="FL29" s="13" t="str">
        <f t="shared" si="40"/>
        <v/>
      </c>
      <c r="FM29" s="13" t="str">
        <f t="shared" si="40"/>
        <v/>
      </c>
      <c r="FN29" s="13" t="str">
        <f t="shared" si="40"/>
        <v/>
      </c>
      <c r="FO29" s="13" t="str">
        <f t="shared" si="40"/>
        <v/>
      </c>
      <c r="FP29" s="13" t="str">
        <f t="shared" si="40"/>
        <v/>
      </c>
      <c r="FQ29" s="13" t="str">
        <f t="shared" si="40"/>
        <v/>
      </c>
      <c r="FR29" s="13" t="str">
        <f t="shared" si="38"/>
        <v/>
      </c>
      <c r="FS29" s="13" t="str">
        <f t="shared" si="36"/>
        <v/>
      </c>
      <c r="FT29" s="13" t="str">
        <f t="shared" si="36"/>
        <v/>
      </c>
      <c r="FU29" s="13" t="str">
        <f t="shared" ref="FU29:IF32" si="42">IF(FU58&gt;0,TEXT(FU$50,"R"&amp;0)&amp;", ","")</f>
        <v/>
      </c>
      <c r="FV29" s="13" t="str">
        <f t="shared" si="42"/>
        <v/>
      </c>
      <c r="FW29" s="13" t="str">
        <f t="shared" si="42"/>
        <v/>
      </c>
      <c r="FX29" s="13" t="str">
        <f t="shared" si="42"/>
        <v/>
      </c>
      <c r="FY29" s="13" t="str">
        <f t="shared" si="42"/>
        <v/>
      </c>
      <c r="FZ29" s="13" t="str">
        <f t="shared" si="42"/>
        <v/>
      </c>
      <c r="GA29" s="13" t="str">
        <f t="shared" si="42"/>
        <v/>
      </c>
      <c r="GB29" s="13" t="str">
        <f t="shared" si="42"/>
        <v/>
      </c>
      <c r="GC29" s="13" t="str">
        <f t="shared" si="42"/>
        <v/>
      </c>
      <c r="GD29" s="13" t="str">
        <f t="shared" si="42"/>
        <v/>
      </c>
      <c r="GE29" s="13" t="str">
        <f t="shared" si="42"/>
        <v/>
      </c>
      <c r="GF29" s="13" t="str">
        <f t="shared" si="42"/>
        <v/>
      </c>
      <c r="GG29" s="13" t="str">
        <f t="shared" si="42"/>
        <v/>
      </c>
      <c r="GH29" s="13" t="str">
        <f t="shared" si="42"/>
        <v/>
      </c>
      <c r="GI29" s="13" t="str">
        <f t="shared" si="42"/>
        <v/>
      </c>
      <c r="GJ29" s="13" t="str">
        <f t="shared" si="42"/>
        <v/>
      </c>
      <c r="GK29" s="13" t="str">
        <f t="shared" si="42"/>
        <v/>
      </c>
      <c r="GL29" s="13" t="str">
        <f t="shared" si="42"/>
        <v/>
      </c>
      <c r="GM29" s="13" t="str">
        <f t="shared" si="42"/>
        <v/>
      </c>
      <c r="GN29" s="13" t="str">
        <f t="shared" si="42"/>
        <v/>
      </c>
      <c r="GO29" s="13" t="str">
        <f t="shared" si="42"/>
        <v/>
      </c>
      <c r="GP29" s="13" t="str">
        <f t="shared" si="42"/>
        <v/>
      </c>
      <c r="GQ29" s="13" t="str">
        <f t="shared" si="42"/>
        <v/>
      </c>
      <c r="GR29" s="13" t="str">
        <f t="shared" si="42"/>
        <v/>
      </c>
      <c r="GS29" s="13" t="str">
        <f t="shared" si="42"/>
        <v/>
      </c>
      <c r="GT29" s="13" t="str">
        <f t="shared" si="42"/>
        <v/>
      </c>
      <c r="GU29" s="13" t="str">
        <f t="shared" si="42"/>
        <v/>
      </c>
      <c r="GV29" s="13" t="str">
        <f t="shared" si="42"/>
        <v/>
      </c>
      <c r="GW29" s="13" t="str">
        <f t="shared" si="42"/>
        <v/>
      </c>
      <c r="GX29" s="13" t="str">
        <f t="shared" si="42"/>
        <v/>
      </c>
      <c r="GY29" s="13" t="str">
        <f t="shared" si="42"/>
        <v/>
      </c>
      <c r="GZ29" s="13" t="str">
        <f t="shared" si="42"/>
        <v/>
      </c>
      <c r="HA29" s="13" t="str">
        <f t="shared" si="42"/>
        <v/>
      </c>
      <c r="HB29" s="13" t="str">
        <f t="shared" si="42"/>
        <v/>
      </c>
      <c r="HC29" s="13" t="str">
        <f t="shared" si="42"/>
        <v/>
      </c>
      <c r="HD29" s="13" t="str">
        <f t="shared" si="42"/>
        <v/>
      </c>
      <c r="HE29" s="13" t="str">
        <f t="shared" si="42"/>
        <v/>
      </c>
      <c r="HF29" s="13" t="str">
        <f t="shared" si="42"/>
        <v/>
      </c>
      <c r="HG29" s="13" t="str">
        <f t="shared" si="42"/>
        <v/>
      </c>
      <c r="HH29" s="13" t="str">
        <f t="shared" si="42"/>
        <v/>
      </c>
      <c r="HI29" s="13" t="str">
        <f t="shared" si="42"/>
        <v/>
      </c>
      <c r="HJ29" s="13" t="str">
        <f t="shared" si="42"/>
        <v/>
      </c>
      <c r="HK29" s="13" t="str">
        <f t="shared" si="42"/>
        <v/>
      </c>
      <c r="HL29" s="13" t="str">
        <f t="shared" si="42"/>
        <v/>
      </c>
      <c r="HM29" s="13" t="str">
        <f t="shared" si="42"/>
        <v/>
      </c>
      <c r="HN29" s="13" t="str">
        <f t="shared" si="42"/>
        <v/>
      </c>
      <c r="HO29" s="13" t="str">
        <f t="shared" si="42"/>
        <v/>
      </c>
      <c r="HP29" s="13" t="str">
        <f t="shared" si="42"/>
        <v/>
      </c>
      <c r="HQ29" s="13" t="str">
        <f t="shared" si="42"/>
        <v/>
      </c>
      <c r="HR29" s="13" t="str">
        <f t="shared" si="42"/>
        <v/>
      </c>
      <c r="HS29" s="13" t="str">
        <f t="shared" si="42"/>
        <v/>
      </c>
      <c r="HT29" s="13" t="str">
        <f t="shared" si="42"/>
        <v/>
      </c>
      <c r="HU29" s="13" t="str">
        <f t="shared" si="42"/>
        <v/>
      </c>
      <c r="HV29" s="13" t="str">
        <f t="shared" si="42"/>
        <v/>
      </c>
      <c r="HW29" s="13" t="str">
        <f t="shared" si="42"/>
        <v/>
      </c>
      <c r="HX29" s="13" t="str">
        <f t="shared" si="42"/>
        <v/>
      </c>
      <c r="HY29" s="13" t="str">
        <f t="shared" si="42"/>
        <v/>
      </c>
      <c r="HZ29" s="13" t="str">
        <f t="shared" si="42"/>
        <v/>
      </c>
      <c r="IA29" s="13" t="str">
        <f t="shared" si="42"/>
        <v/>
      </c>
      <c r="IB29" s="13" t="str">
        <f t="shared" si="42"/>
        <v/>
      </c>
      <c r="IC29" s="13" t="str">
        <f t="shared" si="42"/>
        <v/>
      </c>
      <c r="ID29" s="13" t="str">
        <f t="shared" si="42"/>
        <v/>
      </c>
      <c r="IE29" s="13" t="str">
        <f t="shared" si="42"/>
        <v/>
      </c>
      <c r="IF29" s="13" t="str">
        <f t="shared" si="42"/>
        <v/>
      </c>
      <c r="IG29" s="13" t="str">
        <f t="shared" si="39"/>
        <v/>
      </c>
      <c r="IH29" s="13" t="str">
        <f t="shared" si="39"/>
        <v/>
      </c>
      <c r="II29" s="13" t="str">
        <f t="shared" si="39"/>
        <v/>
      </c>
      <c r="IJ29" s="13" t="str">
        <f t="shared" si="39"/>
        <v/>
      </c>
      <c r="IK29" s="13" t="str">
        <f t="shared" si="39"/>
        <v/>
      </c>
      <c r="IL29" s="13" t="str">
        <f t="shared" si="39"/>
        <v/>
      </c>
      <c r="IM29" s="13" t="str">
        <f t="shared" si="39"/>
        <v/>
      </c>
      <c r="IN29" s="13" t="str">
        <f t="shared" si="39"/>
        <v/>
      </c>
      <c r="IO29" s="13" t="str">
        <f t="shared" si="39"/>
        <v/>
      </c>
      <c r="IP29" s="13" t="str">
        <f t="shared" si="39"/>
        <v/>
      </c>
      <c r="IQ29" s="13" t="str">
        <f t="shared" si="39"/>
        <v/>
      </c>
      <c r="IR29" s="13" t="str">
        <f t="shared" si="39"/>
        <v/>
      </c>
      <c r="IS29" s="13" t="str">
        <f t="shared" si="39"/>
        <v/>
      </c>
      <c r="IT29" s="13" t="str">
        <f t="shared" si="39"/>
        <v/>
      </c>
      <c r="IU29" s="13" t="str">
        <f t="shared" si="39"/>
        <v/>
      </c>
      <c r="IV29" s="13" t="str">
        <f t="shared" si="39"/>
        <v/>
      </c>
      <c r="IW29" s="13" t="str">
        <f t="shared" si="39"/>
        <v/>
      </c>
      <c r="IX29" s="13" t="str">
        <f t="shared" si="39"/>
        <v/>
      </c>
      <c r="IY29" s="13" t="str">
        <f t="shared" si="39"/>
        <v/>
      </c>
      <c r="IZ29" s="13" t="str">
        <f t="shared" si="39"/>
        <v/>
      </c>
      <c r="JA29" s="13" t="str">
        <f t="shared" si="39"/>
        <v/>
      </c>
      <c r="JB29" s="13" t="str">
        <f t="shared" si="39"/>
        <v/>
      </c>
      <c r="JC29" s="13" t="str">
        <f t="shared" si="39"/>
        <v/>
      </c>
      <c r="JD29" s="13" t="str">
        <f t="shared" si="39"/>
        <v/>
      </c>
      <c r="JE29" s="13" t="str">
        <f t="shared" si="39"/>
        <v/>
      </c>
      <c r="JF29" s="13" t="str">
        <f t="shared" si="39"/>
        <v/>
      </c>
      <c r="JG29" s="13" t="str">
        <f t="shared" si="39"/>
        <v/>
      </c>
      <c r="JH29" s="13" t="str">
        <f t="shared" si="39"/>
        <v/>
      </c>
      <c r="JI29" s="13" t="str">
        <f t="shared" si="39"/>
        <v/>
      </c>
      <c r="JJ29" s="13" t="str">
        <f t="shared" si="39"/>
        <v/>
      </c>
      <c r="JK29" s="13" t="str">
        <f t="shared" si="39"/>
        <v/>
      </c>
      <c r="JL29" s="13" t="str">
        <f t="shared" si="39"/>
        <v/>
      </c>
      <c r="JM29" s="13" t="str">
        <f t="shared" si="39"/>
        <v/>
      </c>
      <c r="JN29" s="13" t="str">
        <f t="shared" si="39"/>
        <v/>
      </c>
      <c r="JO29" s="13" t="str">
        <f t="shared" si="39"/>
        <v/>
      </c>
      <c r="JP29" s="13" t="str">
        <f t="shared" si="39"/>
        <v/>
      </c>
      <c r="JQ29" s="13" t="str">
        <f t="shared" si="39"/>
        <v/>
      </c>
      <c r="JR29" s="13" t="str">
        <f t="shared" si="39"/>
        <v/>
      </c>
      <c r="JS29" s="13" t="str">
        <f t="shared" si="39"/>
        <v/>
      </c>
      <c r="JT29" s="13" t="str">
        <f t="shared" si="39"/>
        <v/>
      </c>
      <c r="JU29" s="13" t="str">
        <f t="shared" si="39"/>
        <v/>
      </c>
      <c r="JV29" s="13" t="str">
        <f t="shared" si="39"/>
        <v/>
      </c>
      <c r="JW29" s="13" t="str">
        <f t="shared" si="39"/>
        <v/>
      </c>
      <c r="JX29" s="13" t="str">
        <f t="shared" si="39"/>
        <v/>
      </c>
      <c r="JY29" s="13" t="str">
        <f t="shared" si="39"/>
        <v/>
      </c>
      <c r="JZ29" s="13" t="str">
        <f t="shared" si="39"/>
        <v/>
      </c>
      <c r="KA29" s="13" t="str">
        <f t="shared" si="39"/>
        <v/>
      </c>
      <c r="KB29" s="13" t="str">
        <f t="shared" si="39"/>
        <v/>
      </c>
      <c r="KC29" s="13" t="str">
        <f t="shared" si="39"/>
        <v/>
      </c>
      <c r="KD29" s="13" t="str">
        <f t="shared" si="39"/>
        <v/>
      </c>
      <c r="KE29" s="13" t="str">
        <f t="shared" si="39"/>
        <v/>
      </c>
      <c r="KF29" s="13" t="str">
        <f t="shared" si="39"/>
        <v/>
      </c>
      <c r="KG29" s="13" t="str">
        <f t="shared" si="39"/>
        <v/>
      </c>
      <c r="KH29" s="13" t="str">
        <f t="shared" si="39"/>
        <v/>
      </c>
      <c r="KI29" s="13" t="str">
        <f t="shared" si="39"/>
        <v/>
      </c>
      <c r="KJ29" s="13" t="str">
        <f t="shared" si="39"/>
        <v/>
      </c>
      <c r="KK29" s="13" t="str">
        <f t="shared" si="39"/>
        <v/>
      </c>
      <c r="KL29" s="13" t="str">
        <f t="shared" si="39"/>
        <v/>
      </c>
      <c r="KM29" s="13" t="str">
        <f t="shared" si="39"/>
        <v/>
      </c>
      <c r="KN29" s="13" t="str">
        <f t="shared" si="39"/>
        <v/>
      </c>
      <c r="KO29" s="13" t="str">
        <f t="shared" si="39"/>
        <v/>
      </c>
      <c r="KP29" s="13" t="str">
        <f t="shared" si="39"/>
        <v/>
      </c>
      <c r="KQ29" s="13" t="str">
        <f t="shared" si="37"/>
        <v/>
      </c>
      <c r="KR29" s="13" t="str">
        <f t="shared" si="37"/>
        <v/>
      </c>
      <c r="KS29" s="13" t="str">
        <f t="shared" si="37"/>
        <v/>
      </c>
      <c r="KT29" s="13" t="str">
        <f t="shared" si="37"/>
        <v/>
      </c>
      <c r="KU29" s="13" t="str">
        <f t="shared" si="37"/>
        <v/>
      </c>
      <c r="KV29" s="13" t="str">
        <f t="shared" si="37"/>
        <v/>
      </c>
      <c r="KW29" s="13" t="str">
        <f t="shared" si="37"/>
        <v/>
      </c>
      <c r="KX29" s="13" t="str">
        <f t="shared" si="37"/>
        <v/>
      </c>
      <c r="KY29" s="13" t="str">
        <f t="shared" si="37"/>
        <v/>
      </c>
      <c r="KZ29" s="13" t="str">
        <f t="shared" si="37"/>
        <v/>
      </c>
      <c r="LA29" s="13" t="str">
        <f t="shared" si="37"/>
        <v/>
      </c>
      <c r="LB29" s="13" t="str">
        <f t="shared" si="37"/>
        <v/>
      </c>
      <c r="LC29" s="13" t="str">
        <f t="shared" si="37"/>
        <v/>
      </c>
      <c r="LD29" s="13" t="str">
        <f t="shared" si="37"/>
        <v/>
      </c>
      <c r="LE29" s="13" t="str">
        <f t="shared" si="37"/>
        <v/>
      </c>
      <c r="LF29" s="13" t="str">
        <f t="shared" si="37"/>
        <v/>
      </c>
      <c r="LG29" s="13" t="str">
        <f t="shared" si="37"/>
        <v/>
      </c>
      <c r="LH29" s="13" t="str">
        <f t="shared" si="37"/>
        <v/>
      </c>
      <c r="LI29" s="13" t="str">
        <f t="shared" si="37"/>
        <v/>
      </c>
      <c r="LJ29" s="13" t="str">
        <f t="shared" si="37"/>
        <v/>
      </c>
      <c r="LK29" s="13" t="str">
        <f t="shared" si="37"/>
        <v/>
      </c>
      <c r="LL29" s="13" t="str">
        <f t="shared" si="37"/>
        <v/>
      </c>
      <c r="LM29" s="13" t="str">
        <f t="shared" si="37"/>
        <v/>
      </c>
      <c r="LN29" s="13" t="str">
        <f t="shared" si="37"/>
        <v/>
      </c>
      <c r="LO29" s="13" t="str">
        <f t="shared" si="37"/>
        <v/>
      </c>
      <c r="LP29" s="13" t="str">
        <f t="shared" si="37"/>
        <v/>
      </c>
      <c r="LQ29" s="13" t="str">
        <f t="shared" si="37"/>
        <v/>
      </c>
      <c r="LR29" s="13" t="str">
        <f t="shared" si="37"/>
        <v/>
      </c>
      <c r="LS29" s="13" t="str">
        <f t="shared" si="37"/>
        <v/>
      </c>
      <c r="LT29" s="13" t="str">
        <f t="shared" si="37"/>
        <v/>
      </c>
      <c r="LU29" s="13" t="str">
        <f t="shared" si="37"/>
        <v/>
      </c>
      <c r="LV29" s="13" t="str">
        <f t="shared" si="37"/>
        <v/>
      </c>
      <c r="LW29" s="13" t="str">
        <f t="shared" si="37"/>
        <v/>
      </c>
      <c r="LX29" s="13" t="str">
        <f t="shared" si="37"/>
        <v/>
      </c>
      <c r="LY29" s="13" t="str">
        <f t="shared" si="37"/>
        <v/>
      </c>
      <c r="LZ29" s="13" t="str">
        <f t="shared" si="37"/>
        <v/>
      </c>
      <c r="MA29" s="13" t="str">
        <f t="shared" si="37"/>
        <v/>
      </c>
      <c r="MB29" s="13" t="str">
        <f t="shared" si="37"/>
        <v/>
      </c>
      <c r="MC29" s="13" t="str">
        <f t="shared" si="37"/>
        <v/>
      </c>
      <c r="MD29" s="13" t="str">
        <f t="shared" si="37"/>
        <v/>
      </c>
      <c r="ME29" s="13" t="str">
        <f t="shared" si="37"/>
        <v/>
      </c>
      <c r="MF29" s="13" t="str">
        <f t="shared" si="37"/>
        <v/>
      </c>
      <c r="MG29" s="13" t="str">
        <f t="shared" si="37"/>
        <v/>
      </c>
    </row>
    <row r="30" spans="1:345" x14ac:dyDescent="0.2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V30" s="8" t="str">
        <f t="shared" si="19"/>
        <v/>
      </c>
      <c r="W30" s="38" t="e">
        <f t="shared" si="7"/>
        <v>#N/A</v>
      </c>
      <c r="X30" s="38" t="e">
        <f t="shared" si="8"/>
        <v>#N/A</v>
      </c>
      <c r="Y30" s="45" t="str">
        <f t="shared" si="9"/>
        <v/>
      </c>
      <c r="Z30" s="40" t="str">
        <f t="shared" si="10"/>
        <v/>
      </c>
      <c r="AA30" s="49" t="e">
        <f t="shared" si="11"/>
        <v>#N/A</v>
      </c>
      <c r="AB30" s="40" t="str">
        <f t="shared" si="12"/>
        <v/>
      </c>
      <c r="AC30" s="49" t="e">
        <f t="shared" si="13"/>
        <v>#N/A</v>
      </c>
      <c r="AE30" s="9" t="str">
        <f t="shared" si="20"/>
        <v/>
      </c>
      <c r="AF30" s="9" t="str">
        <f t="shared" si="21"/>
        <v/>
      </c>
      <c r="AG30" s="9" t="str">
        <f t="shared" si="22"/>
        <v/>
      </c>
      <c r="AH30" s="9" t="str">
        <f t="shared" si="23"/>
        <v/>
      </c>
      <c r="AI30" s="9" t="str">
        <f t="shared" si="24"/>
        <v/>
      </c>
      <c r="AJ30" s="9" t="str">
        <f t="shared" si="25"/>
        <v/>
      </c>
      <c r="AK30" s="9" t="str">
        <f t="shared" si="26"/>
        <v/>
      </c>
      <c r="AL30" s="9" t="str">
        <f t="shared" si="27"/>
        <v/>
      </c>
      <c r="AM30" s="9" t="str">
        <f t="shared" si="28"/>
        <v/>
      </c>
      <c r="AN30" s="9" t="str">
        <f t="shared" si="29"/>
        <v/>
      </c>
      <c r="AO30" s="10" t="str">
        <f t="shared" si="30"/>
        <v/>
      </c>
      <c r="AP30" s="11">
        <f t="shared" si="31"/>
        <v>0</v>
      </c>
      <c r="AR30" s="13" t="str">
        <f t="shared" si="34"/>
        <v/>
      </c>
      <c r="AS30" s="13" t="str">
        <f t="shared" si="32"/>
        <v/>
      </c>
      <c r="AT30" s="13" t="str">
        <f t="shared" si="33"/>
        <v/>
      </c>
      <c r="AU30" s="13" t="str">
        <f t="shared" si="41"/>
        <v/>
      </c>
      <c r="AV30" s="13" t="str">
        <f t="shared" si="41"/>
        <v/>
      </c>
      <c r="AW30" s="13" t="str">
        <f t="shared" si="41"/>
        <v/>
      </c>
      <c r="AX30" s="13" t="str">
        <f t="shared" si="41"/>
        <v/>
      </c>
      <c r="AY30" s="13" t="str">
        <f t="shared" si="41"/>
        <v/>
      </c>
      <c r="AZ30" s="13" t="str">
        <f t="shared" si="41"/>
        <v/>
      </c>
      <c r="BA30" s="13" t="str">
        <f t="shared" si="41"/>
        <v/>
      </c>
      <c r="BB30" s="13" t="str">
        <f t="shared" si="41"/>
        <v/>
      </c>
      <c r="BC30" s="13" t="str">
        <f t="shared" si="41"/>
        <v/>
      </c>
      <c r="BD30" s="13" t="str">
        <f t="shared" si="41"/>
        <v/>
      </c>
      <c r="BE30" s="13" t="str">
        <f t="shared" si="41"/>
        <v/>
      </c>
      <c r="BF30" s="13" t="str">
        <f t="shared" si="41"/>
        <v/>
      </c>
      <c r="BG30" s="13" t="str">
        <f t="shared" si="41"/>
        <v/>
      </c>
      <c r="BH30" s="13" t="str">
        <f t="shared" si="41"/>
        <v/>
      </c>
      <c r="BI30" s="13" t="str">
        <f t="shared" si="41"/>
        <v/>
      </c>
      <c r="BJ30" s="13" t="str">
        <f t="shared" si="41"/>
        <v/>
      </c>
      <c r="BK30" s="13" t="str">
        <f t="shared" si="41"/>
        <v/>
      </c>
      <c r="BL30" s="13" t="str">
        <f t="shared" si="41"/>
        <v/>
      </c>
      <c r="BM30" s="13" t="str">
        <f t="shared" si="41"/>
        <v/>
      </c>
      <c r="BN30" s="13" t="str">
        <f t="shared" si="41"/>
        <v/>
      </c>
      <c r="BO30" s="13" t="str">
        <f t="shared" si="41"/>
        <v/>
      </c>
      <c r="BP30" s="13" t="str">
        <f t="shared" si="41"/>
        <v/>
      </c>
      <c r="BQ30" s="13" t="str">
        <f t="shared" si="41"/>
        <v/>
      </c>
      <c r="BR30" s="13" t="str">
        <f t="shared" si="41"/>
        <v/>
      </c>
      <c r="BS30" s="13" t="str">
        <f t="shared" si="41"/>
        <v/>
      </c>
      <c r="BT30" s="13" t="str">
        <f t="shared" si="41"/>
        <v/>
      </c>
      <c r="BU30" s="13" t="str">
        <f t="shared" si="41"/>
        <v/>
      </c>
      <c r="BV30" s="13" t="str">
        <f t="shared" si="41"/>
        <v/>
      </c>
      <c r="BW30" s="13" t="str">
        <f t="shared" si="41"/>
        <v/>
      </c>
      <c r="BX30" s="13" t="str">
        <f t="shared" si="41"/>
        <v/>
      </c>
      <c r="BY30" s="13" t="str">
        <f t="shared" si="41"/>
        <v/>
      </c>
      <c r="BZ30" s="13" t="str">
        <f t="shared" si="41"/>
        <v/>
      </c>
      <c r="CA30" s="13" t="str">
        <f t="shared" si="41"/>
        <v/>
      </c>
      <c r="CB30" s="13" t="str">
        <f t="shared" si="41"/>
        <v/>
      </c>
      <c r="CC30" s="13" t="str">
        <f t="shared" si="41"/>
        <v/>
      </c>
      <c r="CD30" s="13" t="str">
        <f t="shared" si="41"/>
        <v/>
      </c>
      <c r="CE30" s="13" t="str">
        <f t="shared" si="41"/>
        <v/>
      </c>
      <c r="CF30" s="13" t="str">
        <f t="shared" si="41"/>
        <v/>
      </c>
      <c r="CG30" s="13" t="str">
        <f t="shared" si="41"/>
        <v/>
      </c>
      <c r="CH30" s="13" t="str">
        <f t="shared" si="41"/>
        <v/>
      </c>
      <c r="CI30" s="13" t="str">
        <f t="shared" si="41"/>
        <v/>
      </c>
      <c r="CJ30" s="13" t="str">
        <f t="shared" si="41"/>
        <v/>
      </c>
      <c r="CK30" s="13" t="str">
        <f t="shared" si="41"/>
        <v/>
      </c>
      <c r="CL30" s="13" t="str">
        <f t="shared" si="41"/>
        <v/>
      </c>
      <c r="CM30" s="13" t="str">
        <f t="shared" si="41"/>
        <v/>
      </c>
      <c r="CN30" s="13" t="str">
        <f t="shared" si="41"/>
        <v/>
      </c>
      <c r="CO30" s="13" t="str">
        <f t="shared" si="41"/>
        <v/>
      </c>
      <c r="CP30" s="13" t="str">
        <f t="shared" si="41"/>
        <v/>
      </c>
      <c r="CQ30" s="13" t="str">
        <f t="shared" si="41"/>
        <v/>
      </c>
      <c r="CR30" s="13" t="str">
        <f t="shared" si="41"/>
        <v/>
      </c>
      <c r="CS30" s="13" t="str">
        <f t="shared" si="41"/>
        <v/>
      </c>
      <c r="CT30" s="13" t="str">
        <f t="shared" si="41"/>
        <v/>
      </c>
      <c r="CU30" s="13" t="str">
        <f t="shared" si="41"/>
        <v/>
      </c>
      <c r="CV30" s="13" t="str">
        <f t="shared" si="41"/>
        <v/>
      </c>
      <c r="CW30" s="13" t="str">
        <f t="shared" si="41"/>
        <v/>
      </c>
      <c r="CX30" s="13" t="str">
        <f t="shared" si="41"/>
        <v/>
      </c>
      <c r="CY30" s="13" t="str">
        <f t="shared" si="41"/>
        <v/>
      </c>
      <c r="CZ30" s="13" t="str">
        <f t="shared" si="41"/>
        <v/>
      </c>
      <c r="DA30" s="13" t="str">
        <f t="shared" si="41"/>
        <v/>
      </c>
      <c r="DB30" s="13" t="str">
        <f t="shared" si="41"/>
        <v/>
      </c>
      <c r="DC30" s="13" t="str">
        <f t="shared" si="41"/>
        <v/>
      </c>
      <c r="DD30" s="13" t="str">
        <f t="shared" si="41"/>
        <v/>
      </c>
      <c r="DE30" s="13" t="str">
        <f t="shared" si="41"/>
        <v/>
      </c>
      <c r="DF30" s="13" t="str">
        <f t="shared" si="41"/>
        <v/>
      </c>
      <c r="DG30" s="13" t="str">
        <f t="shared" si="40"/>
        <v/>
      </c>
      <c r="DH30" s="13" t="str">
        <f t="shared" si="40"/>
        <v/>
      </c>
      <c r="DI30" s="13" t="str">
        <f t="shared" si="40"/>
        <v/>
      </c>
      <c r="DJ30" s="13" t="str">
        <f t="shared" si="40"/>
        <v/>
      </c>
      <c r="DK30" s="13" t="str">
        <f t="shared" si="40"/>
        <v/>
      </c>
      <c r="DL30" s="13" t="str">
        <f t="shared" si="40"/>
        <v/>
      </c>
      <c r="DM30" s="13" t="str">
        <f t="shared" si="40"/>
        <v/>
      </c>
      <c r="DN30" s="13" t="str">
        <f t="shared" si="40"/>
        <v/>
      </c>
      <c r="DO30" s="13" t="str">
        <f t="shared" si="40"/>
        <v/>
      </c>
      <c r="DP30" s="13" t="str">
        <f t="shared" si="40"/>
        <v/>
      </c>
      <c r="DQ30" s="13" t="str">
        <f t="shared" si="40"/>
        <v/>
      </c>
      <c r="DR30" s="13" t="str">
        <f t="shared" si="40"/>
        <v/>
      </c>
      <c r="DS30" s="13" t="str">
        <f t="shared" si="40"/>
        <v/>
      </c>
      <c r="DT30" s="13" t="str">
        <f t="shared" si="40"/>
        <v/>
      </c>
      <c r="DU30" s="13" t="str">
        <f t="shared" si="40"/>
        <v/>
      </c>
      <c r="DV30" s="13" t="str">
        <f t="shared" si="40"/>
        <v/>
      </c>
      <c r="DW30" s="13" t="str">
        <f t="shared" si="40"/>
        <v/>
      </c>
      <c r="DX30" s="13" t="str">
        <f t="shared" si="40"/>
        <v/>
      </c>
      <c r="DY30" s="13" t="str">
        <f t="shared" si="40"/>
        <v/>
      </c>
      <c r="DZ30" s="13" t="str">
        <f t="shared" si="40"/>
        <v/>
      </c>
      <c r="EA30" s="13" t="str">
        <f t="shared" si="40"/>
        <v/>
      </c>
      <c r="EB30" s="13" t="str">
        <f t="shared" si="40"/>
        <v/>
      </c>
      <c r="EC30" s="13" t="str">
        <f t="shared" si="40"/>
        <v/>
      </c>
      <c r="ED30" s="13" t="str">
        <f t="shared" si="40"/>
        <v/>
      </c>
      <c r="EE30" s="13" t="str">
        <f t="shared" si="40"/>
        <v/>
      </c>
      <c r="EF30" s="13" t="str">
        <f t="shared" si="40"/>
        <v/>
      </c>
      <c r="EG30" s="13" t="str">
        <f t="shared" si="40"/>
        <v/>
      </c>
      <c r="EH30" s="13" t="str">
        <f t="shared" si="40"/>
        <v/>
      </c>
      <c r="EI30" s="13" t="str">
        <f t="shared" si="40"/>
        <v/>
      </c>
      <c r="EJ30" s="13" t="str">
        <f t="shared" si="40"/>
        <v/>
      </c>
      <c r="EK30" s="13" t="str">
        <f t="shared" si="40"/>
        <v/>
      </c>
      <c r="EL30" s="13" t="str">
        <f t="shared" si="40"/>
        <v/>
      </c>
      <c r="EM30" s="13" t="str">
        <f t="shared" si="40"/>
        <v/>
      </c>
      <c r="EN30" s="13" t="str">
        <f t="shared" si="40"/>
        <v/>
      </c>
      <c r="EO30" s="13" t="str">
        <f t="shared" si="40"/>
        <v/>
      </c>
      <c r="EP30" s="13" t="str">
        <f t="shared" si="40"/>
        <v/>
      </c>
      <c r="EQ30" s="13" t="str">
        <f t="shared" si="40"/>
        <v/>
      </c>
      <c r="ER30" s="13" t="str">
        <f t="shared" si="40"/>
        <v/>
      </c>
      <c r="ES30" s="13" t="str">
        <f t="shared" si="40"/>
        <v/>
      </c>
      <c r="ET30" s="13" t="str">
        <f t="shared" si="40"/>
        <v/>
      </c>
      <c r="EU30" s="13" t="str">
        <f t="shared" si="40"/>
        <v/>
      </c>
      <c r="EV30" s="13" t="str">
        <f t="shared" si="40"/>
        <v/>
      </c>
      <c r="EW30" s="13" t="str">
        <f t="shared" si="40"/>
        <v/>
      </c>
      <c r="EX30" s="13" t="str">
        <f t="shared" si="40"/>
        <v/>
      </c>
      <c r="EY30" s="13" t="str">
        <f t="shared" si="40"/>
        <v/>
      </c>
      <c r="EZ30" s="13" t="str">
        <f t="shared" si="40"/>
        <v/>
      </c>
      <c r="FA30" s="13" t="str">
        <f t="shared" si="40"/>
        <v/>
      </c>
      <c r="FB30" s="13" t="str">
        <f t="shared" si="40"/>
        <v/>
      </c>
      <c r="FC30" s="13" t="str">
        <f t="shared" si="40"/>
        <v/>
      </c>
      <c r="FD30" s="13" t="str">
        <f t="shared" si="40"/>
        <v/>
      </c>
      <c r="FE30" s="13" t="str">
        <f t="shared" si="40"/>
        <v/>
      </c>
      <c r="FF30" s="13" t="str">
        <f t="shared" si="40"/>
        <v/>
      </c>
      <c r="FG30" s="13" t="str">
        <f t="shared" si="40"/>
        <v/>
      </c>
      <c r="FH30" s="13" t="str">
        <f t="shared" si="40"/>
        <v/>
      </c>
      <c r="FI30" s="13" t="str">
        <f t="shared" si="40"/>
        <v/>
      </c>
      <c r="FJ30" s="13" t="str">
        <f t="shared" si="40"/>
        <v/>
      </c>
      <c r="FK30" s="13" t="str">
        <f t="shared" si="40"/>
        <v/>
      </c>
      <c r="FL30" s="13" t="str">
        <f t="shared" si="40"/>
        <v/>
      </c>
      <c r="FM30" s="13" t="str">
        <f t="shared" si="40"/>
        <v/>
      </c>
      <c r="FN30" s="13" t="str">
        <f t="shared" si="40"/>
        <v/>
      </c>
      <c r="FO30" s="13" t="str">
        <f t="shared" si="40"/>
        <v/>
      </c>
      <c r="FP30" s="13" t="str">
        <f t="shared" si="40"/>
        <v/>
      </c>
      <c r="FQ30" s="13" t="str">
        <f t="shared" si="40"/>
        <v/>
      </c>
      <c r="FR30" s="13" t="str">
        <f t="shared" si="38"/>
        <v/>
      </c>
      <c r="FS30" s="13" t="str">
        <f t="shared" ref="FS30:ID33" si="43">IF(FS59&gt;0,TEXT(FS$50,"R"&amp;0)&amp;", ","")</f>
        <v/>
      </c>
      <c r="FT30" s="13" t="str">
        <f t="shared" si="43"/>
        <v/>
      </c>
      <c r="FU30" s="13" t="str">
        <f t="shared" si="43"/>
        <v/>
      </c>
      <c r="FV30" s="13" t="str">
        <f t="shared" si="43"/>
        <v/>
      </c>
      <c r="FW30" s="13" t="str">
        <f t="shared" si="43"/>
        <v/>
      </c>
      <c r="FX30" s="13" t="str">
        <f t="shared" si="43"/>
        <v/>
      </c>
      <c r="FY30" s="13" t="str">
        <f t="shared" si="43"/>
        <v/>
      </c>
      <c r="FZ30" s="13" t="str">
        <f t="shared" si="43"/>
        <v/>
      </c>
      <c r="GA30" s="13" t="str">
        <f t="shared" si="43"/>
        <v/>
      </c>
      <c r="GB30" s="13" t="str">
        <f t="shared" si="43"/>
        <v/>
      </c>
      <c r="GC30" s="13" t="str">
        <f t="shared" si="43"/>
        <v/>
      </c>
      <c r="GD30" s="13" t="str">
        <f t="shared" si="43"/>
        <v/>
      </c>
      <c r="GE30" s="13" t="str">
        <f t="shared" si="43"/>
        <v/>
      </c>
      <c r="GF30" s="13" t="str">
        <f t="shared" si="43"/>
        <v/>
      </c>
      <c r="GG30" s="13" t="str">
        <f t="shared" si="43"/>
        <v/>
      </c>
      <c r="GH30" s="13" t="str">
        <f t="shared" si="43"/>
        <v/>
      </c>
      <c r="GI30" s="13" t="str">
        <f t="shared" si="43"/>
        <v/>
      </c>
      <c r="GJ30" s="13" t="str">
        <f t="shared" si="43"/>
        <v/>
      </c>
      <c r="GK30" s="13" t="str">
        <f t="shared" si="43"/>
        <v/>
      </c>
      <c r="GL30" s="13" t="str">
        <f t="shared" si="43"/>
        <v/>
      </c>
      <c r="GM30" s="13" t="str">
        <f t="shared" si="43"/>
        <v/>
      </c>
      <c r="GN30" s="13" t="str">
        <f t="shared" si="43"/>
        <v/>
      </c>
      <c r="GO30" s="13" t="str">
        <f t="shared" si="43"/>
        <v/>
      </c>
      <c r="GP30" s="13" t="str">
        <f t="shared" si="43"/>
        <v/>
      </c>
      <c r="GQ30" s="13" t="str">
        <f t="shared" si="43"/>
        <v/>
      </c>
      <c r="GR30" s="13" t="str">
        <f t="shared" si="43"/>
        <v/>
      </c>
      <c r="GS30" s="13" t="str">
        <f t="shared" si="43"/>
        <v/>
      </c>
      <c r="GT30" s="13" t="str">
        <f t="shared" si="43"/>
        <v/>
      </c>
      <c r="GU30" s="13" t="str">
        <f t="shared" si="43"/>
        <v/>
      </c>
      <c r="GV30" s="13" t="str">
        <f t="shared" si="43"/>
        <v/>
      </c>
      <c r="GW30" s="13" t="str">
        <f t="shared" si="43"/>
        <v/>
      </c>
      <c r="GX30" s="13" t="str">
        <f t="shared" si="43"/>
        <v/>
      </c>
      <c r="GY30" s="13" t="str">
        <f t="shared" si="43"/>
        <v/>
      </c>
      <c r="GZ30" s="13" t="str">
        <f t="shared" si="43"/>
        <v/>
      </c>
      <c r="HA30" s="13" t="str">
        <f t="shared" si="43"/>
        <v/>
      </c>
      <c r="HB30" s="13" t="str">
        <f t="shared" si="43"/>
        <v/>
      </c>
      <c r="HC30" s="13" t="str">
        <f t="shared" si="43"/>
        <v/>
      </c>
      <c r="HD30" s="13" t="str">
        <f t="shared" si="43"/>
        <v/>
      </c>
      <c r="HE30" s="13" t="str">
        <f t="shared" si="43"/>
        <v/>
      </c>
      <c r="HF30" s="13" t="str">
        <f t="shared" si="43"/>
        <v/>
      </c>
      <c r="HG30" s="13" t="str">
        <f t="shared" si="43"/>
        <v/>
      </c>
      <c r="HH30" s="13" t="str">
        <f t="shared" si="43"/>
        <v/>
      </c>
      <c r="HI30" s="13" t="str">
        <f t="shared" si="43"/>
        <v/>
      </c>
      <c r="HJ30" s="13" t="str">
        <f t="shared" si="43"/>
        <v/>
      </c>
      <c r="HK30" s="13" t="str">
        <f t="shared" si="43"/>
        <v/>
      </c>
      <c r="HL30" s="13" t="str">
        <f t="shared" si="43"/>
        <v/>
      </c>
      <c r="HM30" s="13" t="str">
        <f t="shared" si="43"/>
        <v/>
      </c>
      <c r="HN30" s="13" t="str">
        <f t="shared" si="43"/>
        <v/>
      </c>
      <c r="HO30" s="13" t="str">
        <f t="shared" si="43"/>
        <v/>
      </c>
      <c r="HP30" s="13" t="str">
        <f t="shared" si="43"/>
        <v/>
      </c>
      <c r="HQ30" s="13" t="str">
        <f t="shared" si="43"/>
        <v/>
      </c>
      <c r="HR30" s="13" t="str">
        <f t="shared" si="43"/>
        <v/>
      </c>
      <c r="HS30" s="13" t="str">
        <f t="shared" si="43"/>
        <v/>
      </c>
      <c r="HT30" s="13" t="str">
        <f t="shared" si="43"/>
        <v/>
      </c>
      <c r="HU30" s="13" t="str">
        <f t="shared" si="43"/>
        <v/>
      </c>
      <c r="HV30" s="13" t="str">
        <f t="shared" si="43"/>
        <v/>
      </c>
      <c r="HW30" s="13" t="str">
        <f t="shared" si="43"/>
        <v/>
      </c>
      <c r="HX30" s="13" t="str">
        <f t="shared" si="43"/>
        <v/>
      </c>
      <c r="HY30" s="13" t="str">
        <f t="shared" si="43"/>
        <v/>
      </c>
      <c r="HZ30" s="13" t="str">
        <f t="shared" si="43"/>
        <v/>
      </c>
      <c r="IA30" s="13" t="str">
        <f t="shared" si="43"/>
        <v/>
      </c>
      <c r="IB30" s="13" t="str">
        <f t="shared" si="43"/>
        <v/>
      </c>
      <c r="IC30" s="13" t="str">
        <f t="shared" si="43"/>
        <v/>
      </c>
      <c r="ID30" s="13" t="str">
        <f t="shared" si="43"/>
        <v/>
      </c>
      <c r="IE30" s="13" t="str">
        <f t="shared" si="42"/>
        <v/>
      </c>
      <c r="IF30" s="13" t="str">
        <f t="shared" si="42"/>
        <v/>
      </c>
      <c r="IG30" s="13" t="str">
        <f t="shared" si="39"/>
        <v/>
      </c>
      <c r="IH30" s="13" t="str">
        <f t="shared" ref="IH30:KS43" si="44">IF(IH59&gt;0,TEXT(IH$50,"R"&amp;0)&amp;", ","")</f>
        <v/>
      </c>
      <c r="II30" s="13" t="str">
        <f t="shared" si="44"/>
        <v/>
      </c>
      <c r="IJ30" s="13" t="str">
        <f t="shared" si="44"/>
        <v/>
      </c>
      <c r="IK30" s="13" t="str">
        <f t="shared" si="44"/>
        <v/>
      </c>
      <c r="IL30" s="13" t="str">
        <f t="shared" si="44"/>
        <v/>
      </c>
      <c r="IM30" s="13" t="str">
        <f t="shared" si="44"/>
        <v/>
      </c>
      <c r="IN30" s="13" t="str">
        <f t="shared" si="44"/>
        <v/>
      </c>
      <c r="IO30" s="13" t="str">
        <f t="shared" si="44"/>
        <v/>
      </c>
      <c r="IP30" s="13" t="str">
        <f t="shared" si="44"/>
        <v/>
      </c>
      <c r="IQ30" s="13" t="str">
        <f t="shared" si="44"/>
        <v/>
      </c>
      <c r="IR30" s="13" t="str">
        <f t="shared" si="44"/>
        <v/>
      </c>
      <c r="IS30" s="13" t="str">
        <f t="shared" si="44"/>
        <v/>
      </c>
      <c r="IT30" s="13" t="str">
        <f t="shared" si="44"/>
        <v/>
      </c>
      <c r="IU30" s="13" t="str">
        <f t="shared" si="44"/>
        <v/>
      </c>
      <c r="IV30" s="13" t="str">
        <f t="shared" si="44"/>
        <v/>
      </c>
      <c r="IW30" s="13" t="str">
        <f t="shared" si="44"/>
        <v/>
      </c>
      <c r="IX30" s="13" t="str">
        <f t="shared" si="44"/>
        <v/>
      </c>
      <c r="IY30" s="13" t="str">
        <f t="shared" si="44"/>
        <v/>
      </c>
      <c r="IZ30" s="13" t="str">
        <f t="shared" si="44"/>
        <v/>
      </c>
      <c r="JA30" s="13" t="str">
        <f t="shared" si="44"/>
        <v/>
      </c>
      <c r="JB30" s="13" t="str">
        <f t="shared" si="44"/>
        <v/>
      </c>
      <c r="JC30" s="13" t="str">
        <f t="shared" si="44"/>
        <v/>
      </c>
      <c r="JD30" s="13" t="str">
        <f t="shared" si="44"/>
        <v/>
      </c>
      <c r="JE30" s="13" t="str">
        <f t="shared" si="44"/>
        <v/>
      </c>
      <c r="JF30" s="13" t="str">
        <f t="shared" si="44"/>
        <v/>
      </c>
      <c r="JG30" s="13" t="str">
        <f t="shared" si="44"/>
        <v/>
      </c>
      <c r="JH30" s="13" t="str">
        <f t="shared" si="44"/>
        <v/>
      </c>
      <c r="JI30" s="13" t="str">
        <f t="shared" si="44"/>
        <v/>
      </c>
      <c r="JJ30" s="13" t="str">
        <f t="shared" si="44"/>
        <v/>
      </c>
      <c r="JK30" s="13" t="str">
        <f t="shared" si="44"/>
        <v/>
      </c>
      <c r="JL30" s="13" t="str">
        <f t="shared" si="44"/>
        <v/>
      </c>
      <c r="JM30" s="13" t="str">
        <f t="shared" si="44"/>
        <v/>
      </c>
      <c r="JN30" s="13" t="str">
        <f t="shared" si="44"/>
        <v/>
      </c>
      <c r="JO30" s="13" t="str">
        <f t="shared" si="44"/>
        <v/>
      </c>
      <c r="JP30" s="13" t="str">
        <f t="shared" si="44"/>
        <v/>
      </c>
      <c r="JQ30" s="13" t="str">
        <f t="shared" si="44"/>
        <v/>
      </c>
      <c r="JR30" s="13" t="str">
        <f t="shared" si="44"/>
        <v/>
      </c>
      <c r="JS30" s="13" t="str">
        <f t="shared" si="44"/>
        <v/>
      </c>
      <c r="JT30" s="13" t="str">
        <f t="shared" si="44"/>
        <v/>
      </c>
      <c r="JU30" s="13" t="str">
        <f t="shared" si="44"/>
        <v/>
      </c>
      <c r="JV30" s="13" t="str">
        <f t="shared" si="44"/>
        <v/>
      </c>
      <c r="JW30" s="13" t="str">
        <f t="shared" si="44"/>
        <v/>
      </c>
      <c r="JX30" s="13" t="str">
        <f t="shared" si="44"/>
        <v/>
      </c>
      <c r="JY30" s="13" t="str">
        <f t="shared" si="44"/>
        <v/>
      </c>
      <c r="JZ30" s="13" t="str">
        <f t="shared" si="44"/>
        <v/>
      </c>
      <c r="KA30" s="13" t="str">
        <f t="shared" si="44"/>
        <v/>
      </c>
      <c r="KB30" s="13" t="str">
        <f t="shared" si="44"/>
        <v/>
      </c>
      <c r="KC30" s="13" t="str">
        <f t="shared" si="44"/>
        <v/>
      </c>
      <c r="KD30" s="13" t="str">
        <f t="shared" si="44"/>
        <v/>
      </c>
      <c r="KE30" s="13" t="str">
        <f t="shared" si="44"/>
        <v/>
      </c>
      <c r="KF30" s="13" t="str">
        <f t="shared" si="44"/>
        <v/>
      </c>
      <c r="KG30" s="13" t="str">
        <f t="shared" si="44"/>
        <v/>
      </c>
      <c r="KH30" s="13" t="str">
        <f t="shared" si="44"/>
        <v/>
      </c>
      <c r="KI30" s="13" t="str">
        <f t="shared" si="44"/>
        <v/>
      </c>
      <c r="KJ30" s="13" t="str">
        <f t="shared" si="44"/>
        <v/>
      </c>
      <c r="KK30" s="13" t="str">
        <f t="shared" si="44"/>
        <v/>
      </c>
      <c r="KL30" s="13" t="str">
        <f t="shared" si="44"/>
        <v/>
      </c>
      <c r="KM30" s="13" t="str">
        <f t="shared" si="44"/>
        <v/>
      </c>
      <c r="KN30" s="13" t="str">
        <f t="shared" si="44"/>
        <v/>
      </c>
      <c r="KO30" s="13" t="str">
        <f t="shared" si="44"/>
        <v/>
      </c>
      <c r="KP30" s="13" t="str">
        <f t="shared" si="44"/>
        <v/>
      </c>
      <c r="KQ30" s="13" t="str">
        <f t="shared" si="44"/>
        <v/>
      </c>
      <c r="KR30" s="13" t="str">
        <f t="shared" si="44"/>
        <v/>
      </c>
      <c r="KS30" s="13" t="str">
        <f t="shared" si="44"/>
        <v/>
      </c>
      <c r="KT30" s="13" t="str">
        <f t="shared" si="37"/>
        <v/>
      </c>
      <c r="KU30" s="13" t="str">
        <f t="shared" si="37"/>
        <v/>
      </c>
      <c r="KV30" s="13" t="str">
        <f t="shared" si="37"/>
        <v/>
      </c>
      <c r="KW30" s="13" t="str">
        <f t="shared" si="37"/>
        <v/>
      </c>
      <c r="KX30" s="13" t="str">
        <f t="shared" si="37"/>
        <v/>
      </c>
      <c r="KY30" s="13" t="str">
        <f t="shared" si="37"/>
        <v/>
      </c>
      <c r="KZ30" s="13" t="str">
        <f t="shared" si="37"/>
        <v/>
      </c>
      <c r="LA30" s="13" t="str">
        <f t="shared" si="37"/>
        <v/>
      </c>
      <c r="LB30" s="13" t="str">
        <f t="shared" si="37"/>
        <v/>
      </c>
      <c r="LC30" s="13" t="str">
        <f t="shared" si="37"/>
        <v/>
      </c>
      <c r="LD30" s="13" t="str">
        <f t="shared" si="37"/>
        <v/>
      </c>
      <c r="LE30" s="13" t="str">
        <f t="shared" si="37"/>
        <v/>
      </c>
      <c r="LF30" s="13" t="str">
        <f t="shared" si="37"/>
        <v/>
      </c>
      <c r="LG30" s="13" t="str">
        <f t="shared" si="37"/>
        <v/>
      </c>
      <c r="LH30" s="13" t="str">
        <f t="shared" si="37"/>
        <v/>
      </c>
      <c r="LI30" s="13" t="str">
        <f t="shared" si="37"/>
        <v/>
      </c>
      <c r="LJ30" s="13" t="str">
        <f t="shared" si="37"/>
        <v/>
      </c>
      <c r="LK30" s="13" t="str">
        <f t="shared" si="37"/>
        <v/>
      </c>
      <c r="LL30" s="13" t="str">
        <f t="shared" si="37"/>
        <v/>
      </c>
      <c r="LM30" s="13" t="str">
        <f t="shared" si="37"/>
        <v/>
      </c>
      <c r="LN30" s="13" t="str">
        <f t="shared" si="37"/>
        <v/>
      </c>
      <c r="LO30" s="13" t="str">
        <f t="shared" si="37"/>
        <v/>
      </c>
      <c r="LP30" s="13" t="str">
        <f t="shared" si="37"/>
        <v/>
      </c>
      <c r="LQ30" s="13" t="str">
        <f t="shared" si="37"/>
        <v/>
      </c>
      <c r="LR30" s="13" t="str">
        <f t="shared" si="37"/>
        <v/>
      </c>
      <c r="LS30" s="13" t="str">
        <f t="shared" si="37"/>
        <v/>
      </c>
      <c r="LT30" s="13" t="str">
        <f t="shared" si="37"/>
        <v/>
      </c>
      <c r="LU30" s="13" t="str">
        <f t="shared" si="37"/>
        <v/>
      </c>
      <c r="LV30" s="13" t="str">
        <f t="shared" si="37"/>
        <v/>
      </c>
      <c r="LW30" s="13" t="str">
        <f t="shared" si="37"/>
        <v/>
      </c>
      <c r="LX30" s="13" t="str">
        <f t="shared" si="37"/>
        <v/>
      </c>
      <c r="LY30" s="13" t="str">
        <f t="shared" si="37"/>
        <v/>
      </c>
      <c r="LZ30" s="13" t="str">
        <f t="shared" si="37"/>
        <v/>
      </c>
      <c r="MA30" s="13" t="str">
        <f t="shared" si="37"/>
        <v/>
      </c>
      <c r="MB30" s="13" t="str">
        <f t="shared" si="37"/>
        <v/>
      </c>
      <c r="MC30" s="13" t="str">
        <f t="shared" si="37"/>
        <v/>
      </c>
      <c r="MD30" s="13" t="str">
        <f t="shared" si="37"/>
        <v/>
      </c>
      <c r="ME30" s="13" t="str">
        <f t="shared" si="37"/>
        <v/>
      </c>
      <c r="MF30" s="13" t="str">
        <f t="shared" si="37"/>
        <v/>
      </c>
      <c r="MG30" s="13" t="str">
        <f t="shared" ref="MG30" si="45">IF(MG59&gt;0,TEXT(MG$50,"R"&amp;0)&amp;", ","")</f>
        <v/>
      </c>
    </row>
    <row r="31" spans="1:345" x14ac:dyDescent="0.2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V31" s="8" t="str">
        <f t="shared" si="19"/>
        <v/>
      </c>
      <c r="W31" s="38" t="e">
        <f t="shared" si="7"/>
        <v>#N/A</v>
      </c>
      <c r="X31" s="38" t="e">
        <f t="shared" si="8"/>
        <v>#N/A</v>
      </c>
      <c r="Y31" s="45" t="str">
        <f t="shared" si="9"/>
        <v/>
      </c>
      <c r="Z31" s="40" t="str">
        <f t="shared" si="10"/>
        <v/>
      </c>
      <c r="AA31" s="49" t="e">
        <f t="shared" si="11"/>
        <v>#N/A</v>
      </c>
      <c r="AB31" s="40" t="str">
        <f t="shared" si="12"/>
        <v/>
      </c>
      <c r="AC31" s="49" t="e">
        <f t="shared" si="13"/>
        <v>#N/A</v>
      </c>
      <c r="AE31" s="9" t="str">
        <f t="shared" si="20"/>
        <v/>
      </c>
      <c r="AF31" s="9" t="str">
        <f t="shared" si="21"/>
        <v/>
      </c>
      <c r="AG31" s="9" t="str">
        <f t="shared" si="22"/>
        <v/>
      </c>
      <c r="AH31" s="9" t="str">
        <f t="shared" si="23"/>
        <v/>
      </c>
      <c r="AI31" s="9" t="str">
        <f t="shared" si="24"/>
        <v/>
      </c>
      <c r="AJ31" s="9" t="str">
        <f t="shared" si="25"/>
        <v/>
      </c>
      <c r="AK31" s="9" t="str">
        <f t="shared" si="26"/>
        <v/>
      </c>
      <c r="AL31" s="9" t="str">
        <f t="shared" si="27"/>
        <v/>
      </c>
      <c r="AM31" s="9" t="str">
        <f t="shared" si="28"/>
        <v/>
      </c>
      <c r="AN31" s="9" t="str">
        <f t="shared" si="29"/>
        <v/>
      </c>
      <c r="AO31" s="10" t="str">
        <f t="shared" si="30"/>
        <v/>
      </c>
      <c r="AP31" s="11">
        <f t="shared" si="31"/>
        <v>0</v>
      </c>
      <c r="AR31" s="13" t="str">
        <f t="shared" si="34"/>
        <v/>
      </c>
      <c r="AS31" s="13" t="str">
        <f t="shared" si="32"/>
        <v/>
      </c>
      <c r="AT31" s="13" t="str">
        <f t="shared" si="33"/>
        <v/>
      </c>
      <c r="AU31" s="13" t="str">
        <f t="shared" si="41"/>
        <v/>
      </c>
      <c r="AV31" s="13" t="str">
        <f t="shared" si="41"/>
        <v/>
      </c>
      <c r="AW31" s="13" t="str">
        <f t="shared" si="41"/>
        <v/>
      </c>
      <c r="AX31" s="13" t="str">
        <f t="shared" si="41"/>
        <v/>
      </c>
      <c r="AY31" s="13" t="str">
        <f t="shared" si="41"/>
        <v/>
      </c>
      <c r="AZ31" s="13" t="str">
        <f t="shared" si="41"/>
        <v/>
      </c>
      <c r="BA31" s="13" t="str">
        <f t="shared" si="41"/>
        <v/>
      </c>
      <c r="BB31" s="13" t="str">
        <f t="shared" si="41"/>
        <v/>
      </c>
      <c r="BC31" s="13" t="str">
        <f t="shared" si="41"/>
        <v/>
      </c>
      <c r="BD31" s="13" t="str">
        <f t="shared" si="41"/>
        <v/>
      </c>
      <c r="BE31" s="13" t="str">
        <f t="shared" si="41"/>
        <v/>
      </c>
      <c r="BF31" s="13" t="str">
        <f t="shared" si="41"/>
        <v/>
      </c>
      <c r="BG31" s="13" t="str">
        <f t="shared" si="41"/>
        <v/>
      </c>
      <c r="BH31" s="13" t="str">
        <f t="shared" si="41"/>
        <v/>
      </c>
      <c r="BI31" s="13" t="str">
        <f t="shared" si="41"/>
        <v/>
      </c>
      <c r="BJ31" s="13" t="str">
        <f t="shared" si="41"/>
        <v/>
      </c>
      <c r="BK31" s="13" t="str">
        <f t="shared" si="41"/>
        <v/>
      </c>
      <c r="BL31" s="13" t="str">
        <f t="shared" si="41"/>
        <v/>
      </c>
      <c r="BM31" s="13" t="str">
        <f t="shared" si="41"/>
        <v/>
      </c>
      <c r="BN31" s="13" t="str">
        <f t="shared" si="41"/>
        <v/>
      </c>
      <c r="BO31" s="13" t="str">
        <f t="shared" si="41"/>
        <v/>
      </c>
      <c r="BP31" s="13" t="str">
        <f t="shared" si="41"/>
        <v/>
      </c>
      <c r="BQ31" s="13" t="str">
        <f t="shared" si="41"/>
        <v/>
      </c>
      <c r="BR31" s="13" t="str">
        <f t="shared" si="41"/>
        <v/>
      </c>
      <c r="BS31" s="13" t="str">
        <f t="shared" si="41"/>
        <v/>
      </c>
      <c r="BT31" s="13" t="str">
        <f t="shared" si="41"/>
        <v/>
      </c>
      <c r="BU31" s="13" t="str">
        <f t="shared" si="41"/>
        <v/>
      </c>
      <c r="BV31" s="13" t="str">
        <f t="shared" si="41"/>
        <v/>
      </c>
      <c r="BW31" s="13" t="str">
        <f t="shared" si="41"/>
        <v/>
      </c>
      <c r="BX31" s="13" t="str">
        <f t="shared" si="41"/>
        <v/>
      </c>
      <c r="BY31" s="13" t="str">
        <f t="shared" si="41"/>
        <v/>
      </c>
      <c r="BZ31" s="13" t="str">
        <f t="shared" si="41"/>
        <v/>
      </c>
      <c r="CA31" s="13" t="str">
        <f t="shared" si="41"/>
        <v/>
      </c>
      <c r="CB31" s="13" t="str">
        <f t="shared" si="41"/>
        <v/>
      </c>
      <c r="CC31" s="13" t="str">
        <f t="shared" si="41"/>
        <v/>
      </c>
      <c r="CD31" s="13" t="str">
        <f t="shared" si="41"/>
        <v/>
      </c>
      <c r="CE31" s="13" t="str">
        <f t="shared" si="41"/>
        <v/>
      </c>
      <c r="CF31" s="13" t="str">
        <f t="shared" si="41"/>
        <v/>
      </c>
      <c r="CG31" s="13" t="str">
        <f t="shared" si="41"/>
        <v/>
      </c>
      <c r="CH31" s="13" t="str">
        <f t="shared" si="41"/>
        <v/>
      </c>
      <c r="CI31" s="13" t="str">
        <f t="shared" si="41"/>
        <v/>
      </c>
      <c r="CJ31" s="13" t="str">
        <f t="shared" si="41"/>
        <v/>
      </c>
      <c r="CK31" s="13" t="str">
        <f t="shared" si="41"/>
        <v/>
      </c>
      <c r="CL31" s="13" t="str">
        <f t="shared" si="41"/>
        <v/>
      </c>
      <c r="CM31" s="13" t="str">
        <f t="shared" si="41"/>
        <v/>
      </c>
      <c r="CN31" s="13" t="str">
        <f t="shared" si="41"/>
        <v/>
      </c>
      <c r="CO31" s="13" t="str">
        <f t="shared" si="41"/>
        <v/>
      </c>
      <c r="CP31" s="13" t="str">
        <f t="shared" si="41"/>
        <v/>
      </c>
      <c r="CQ31" s="13" t="str">
        <f t="shared" si="41"/>
        <v/>
      </c>
      <c r="CR31" s="13" t="str">
        <f t="shared" si="41"/>
        <v/>
      </c>
      <c r="CS31" s="13" t="str">
        <f t="shared" si="41"/>
        <v/>
      </c>
      <c r="CT31" s="13" t="str">
        <f t="shared" si="41"/>
        <v/>
      </c>
      <c r="CU31" s="13" t="str">
        <f t="shared" si="41"/>
        <v/>
      </c>
      <c r="CV31" s="13" t="str">
        <f t="shared" si="41"/>
        <v/>
      </c>
      <c r="CW31" s="13" t="str">
        <f t="shared" si="41"/>
        <v/>
      </c>
      <c r="CX31" s="13" t="str">
        <f t="shared" si="41"/>
        <v/>
      </c>
      <c r="CY31" s="13" t="str">
        <f t="shared" si="41"/>
        <v/>
      </c>
      <c r="CZ31" s="13" t="str">
        <f t="shared" si="41"/>
        <v/>
      </c>
      <c r="DA31" s="13" t="str">
        <f t="shared" si="41"/>
        <v/>
      </c>
      <c r="DB31" s="13" t="str">
        <f t="shared" si="41"/>
        <v/>
      </c>
      <c r="DC31" s="13" t="str">
        <f t="shared" si="41"/>
        <v/>
      </c>
      <c r="DD31" s="13" t="str">
        <f t="shared" si="41"/>
        <v/>
      </c>
      <c r="DE31" s="13" t="str">
        <f t="shared" si="41"/>
        <v/>
      </c>
      <c r="DF31" s="13" t="str">
        <f t="shared" ref="DF31:FQ34" si="46">IF(DF60&gt;0,TEXT(DF$50,"R"&amp;0)&amp;", ","")</f>
        <v/>
      </c>
      <c r="DG31" s="13" t="str">
        <f t="shared" si="46"/>
        <v/>
      </c>
      <c r="DH31" s="13" t="str">
        <f t="shared" si="46"/>
        <v/>
      </c>
      <c r="DI31" s="13" t="str">
        <f t="shared" si="46"/>
        <v/>
      </c>
      <c r="DJ31" s="13" t="str">
        <f t="shared" si="46"/>
        <v/>
      </c>
      <c r="DK31" s="13" t="str">
        <f t="shared" si="46"/>
        <v/>
      </c>
      <c r="DL31" s="13" t="str">
        <f t="shared" si="46"/>
        <v/>
      </c>
      <c r="DM31" s="13" t="str">
        <f t="shared" si="46"/>
        <v/>
      </c>
      <c r="DN31" s="13" t="str">
        <f t="shared" si="46"/>
        <v/>
      </c>
      <c r="DO31" s="13" t="str">
        <f t="shared" si="46"/>
        <v/>
      </c>
      <c r="DP31" s="13" t="str">
        <f t="shared" si="46"/>
        <v/>
      </c>
      <c r="DQ31" s="13" t="str">
        <f t="shared" si="46"/>
        <v/>
      </c>
      <c r="DR31" s="13" t="str">
        <f t="shared" si="46"/>
        <v/>
      </c>
      <c r="DS31" s="13" t="str">
        <f t="shared" si="46"/>
        <v/>
      </c>
      <c r="DT31" s="13" t="str">
        <f t="shared" si="46"/>
        <v/>
      </c>
      <c r="DU31" s="13" t="str">
        <f t="shared" si="46"/>
        <v/>
      </c>
      <c r="DV31" s="13" t="str">
        <f t="shared" si="46"/>
        <v/>
      </c>
      <c r="DW31" s="13" t="str">
        <f t="shared" si="46"/>
        <v/>
      </c>
      <c r="DX31" s="13" t="str">
        <f t="shared" si="46"/>
        <v/>
      </c>
      <c r="DY31" s="13" t="str">
        <f t="shared" si="46"/>
        <v/>
      </c>
      <c r="DZ31" s="13" t="str">
        <f t="shared" si="46"/>
        <v/>
      </c>
      <c r="EA31" s="13" t="str">
        <f t="shared" si="46"/>
        <v/>
      </c>
      <c r="EB31" s="13" t="str">
        <f t="shared" si="46"/>
        <v/>
      </c>
      <c r="EC31" s="13" t="str">
        <f t="shared" si="46"/>
        <v/>
      </c>
      <c r="ED31" s="13" t="str">
        <f t="shared" si="46"/>
        <v/>
      </c>
      <c r="EE31" s="13" t="str">
        <f t="shared" si="46"/>
        <v/>
      </c>
      <c r="EF31" s="13" t="str">
        <f t="shared" si="46"/>
        <v/>
      </c>
      <c r="EG31" s="13" t="str">
        <f t="shared" si="46"/>
        <v/>
      </c>
      <c r="EH31" s="13" t="str">
        <f t="shared" si="46"/>
        <v/>
      </c>
      <c r="EI31" s="13" t="str">
        <f t="shared" si="46"/>
        <v/>
      </c>
      <c r="EJ31" s="13" t="str">
        <f t="shared" si="46"/>
        <v/>
      </c>
      <c r="EK31" s="13" t="str">
        <f t="shared" si="46"/>
        <v/>
      </c>
      <c r="EL31" s="13" t="str">
        <f t="shared" si="46"/>
        <v/>
      </c>
      <c r="EM31" s="13" t="str">
        <f t="shared" si="46"/>
        <v/>
      </c>
      <c r="EN31" s="13" t="str">
        <f t="shared" si="46"/>
        <v/>
      </c>
      <c r="EO31" s="13" t="str">
        <f t="shared" si="46"/>
        <v/>
      </c>
      <c r="EP31" s="13" t="str">
        <f t="shared" si="46"/>
        <v/>
      </c>
      <c r="EQ31" s="13" t="str">
        <f t="shared" si="46"/>
        <v/>
      </c>
      <c r="ER31" s="13" t="str">
        <f t="shared" si="46"/>
        <v/>
      </c>
      <c r="ES31" s="13" t="str">
        <f t="shared" si="46"/>
        <v/>
      </c>
      <c r="ET31" s="13" t="str">
        <f t="shared" si="46"/>
        <v/>
      </c>
      <c r="EU31" s="13" t="str">
        <f t="shared" si="46"/>
        <v/>
      </c>
      <c r="EV31" s="13" t="str">
        <f t="shared" si="46"/>
        <v/>
      </c>
      <c r="EW31" s="13" t="str">
        <f t="shared" si="46"/>
        <v/>
      </c>
      <c r="EX31" s="13" t="str">
        <f t="shared" si="46"/>
        <v/>
      </c>
      <c r="EY31" s="13" t="str">
        <f t="shared" si="46"/>
        <v/>
      </c>
      <c r="EZ31" s="13" t="str">
        <f t="shared" si="46"/>
        <v/>
      </c>
      <c r="FA31" s="13" t="str">
        <f t="shared" si="46"/>
        <v/>
      </c>
      <c r="FB31" s="13" t="str">
        <f t="shared" si="46"/>
        <v/>
      </c>
      <c r="FC31" s="13" t="str">
        <f t="shared" si="46"/>
        <v/>
      </c>
      <c r="FD31" s="13" t="str">
        <f t="shared" si="46"/>
        <v/>
      </c>
      <c r="FE31" s="13" t="str">
        <f t="shared" si="46"/>
        <v/>
      </c>
      <c r="FF31" s="13" t="str">
        <f t="shared" si="46"/>
        <v/>
      </c>
      <c r="FG31" s="13" t="str">
        <f t="shared" si="46"/>
        <v/>
      </c>
      <c r="FH31" s="13" t="str">
        <f t="shared" si="46"/>
        <v/>
      </c>
      <c r="FI31" s="13" t="str">
        <f t="shared" si="46"/>
        <v/>
      </c>
      <c r="FJ31" s="13" t="str">
        <f t="shared" si="46"/>
        <v/>
      </c>
      <c r="FK31" s="13" t="str">
        <f t="shared" si="46"/>
        <v/>
      </c>
      <c r="FL31" s="13" t="str">
        <f t="shared" si="46"/>
        <v/>
      </c>
      <c r="FM31" s="13" t="str">
        <f t="shared" si="46"/>
        <v/>
      </c>
      <c r="FN31" s="13" t="str">
        <f t="shared" si="46"/>
        <v/>
      </c>
      <c r="FO31" s="13" t="str">
        <f t="shared" si="46"/>
        <v/>
      </c>
      <c r="FP31" s="13" t="str">
        <f t="shared" si="46"/>
        <v/>
      </c>
      <c r="FQ31" s="13" t="str">
        <f t="shared" si="46"/>
        <v/>
      </c>
      <c r="FR31" s="13" t="str">
        <f t="shared" si="38"/>
        <v/>
      </c>
      <c r="FS31" s="13" t="str">
        <f t="shared" si="43"/>
        <v/>
      </c>
      <c r="FT31" s="13" t="str">
        <f t="shared" si="43"/>
        <v/>
      </c>
      <c r="FU31" s="13" t="str">
        <f t="shared" si="43"/>
        <v/>
      </c>
      <c r="FV31" s="13" t="str">
        <f t="shared" si="43"/>
        <v/>
      </c>
      <c r="FW31" s="13" t="str">
        <f t="shared" si="43"/>
        <v/>
      </c>
      <c r="FX31" s="13" t="str">
        <f t="shared" si="43"/>
        <v/>
      </c>
      <c r="FY31" s="13" t="str">
        <f t="shared" si="43"/>
        <v/>
      </c>
      <c r="FZ31" s="13" t="str">
        <f t="shared" si="43"/>
        <v/>
      </c>
      <c r="GA31" s="13" t="str">
        <f t="shared" si="43"/>
        <v/>
      </c>
      <c r="GB31" s="13" t="str">
        <f t="shared" si="43"/>
        <v/>
      </c>
      <c r="GC31" s="13" t="str">
        <f t="shared" si="43"/>
        <v/>
      </c>
      <c r="GD31" s="13" t="str">
        <f t="shared" si="43"/>
        <v/>
      </c>
      <c r="GE31" s="13" t="str">
        <f t="shared" si="43"/>
        <v/>
      </c>
      <c r="GF31" s="13" t="str">
        <f t="shared" si="43"/>
        <v/>
      </c>
      <c r="GG31" s="13" t="str">
        <f t="shared" si="43"/>
        <v/>
      </c>
      <c r="GH31" s="13" t="str">
        <f t="shared" si="43"/>
        <v/>
      </c>
      <c r="GI31" s="13" t="str">
        <f t="shared" si="43"/>
        <v/>
      </c>
      <c r="GJ31" s="13" t="str">
        <f t="shared" si="43"/>
        <v/>
      </c>
      <c r="GK31" s="13" t="str">
        <f t="shared" si="43"/>
        <v/>
      </c>
      <c r="GL31" s="13" t="str">
        <f t="shared" si="43"/>
        <v/>
      </c>
      <c r="GM31" s="13" t="str">
        <f t="shared" si="43"/>
        <v/>
      </c>
      <c r="GN31" s="13" t="str">
        <f t="shared" si="43"/>
        <v/>
      </c>
      <c r="GO31" s="13" t="str">
        <f t="shared" si="43"/>
        <v/>
      </c>
      <c r="GP31" s="13" t="str">
        <f t="shared" si="43"/>
        <v/>
      </c>
      <c r="GQ31" s="13" t="str">
        <f t="shared" si="43"/>
        <v/>
      </c>
      <c r="GR31" s="13" t="str">
        <f t="shared" si="43"/>
        <v/>
      </c>
      <c r="GS31" s="13" t="str">
        <f t="shared" si="43"/>
        <v/>
      </c>
      <c r="GT31" s="13" t="str">
        <f t="shared" si="43"/>
        <v/>
      </c>
      <c r="GU31" s="13" t="str">
        <f t="shared" si="43"/>
        <v/>
      </c>
      <c r="GV31" s="13" t="str">
        <f t="shared" si="43"/>
        <v/>
      </c>
      <c r="GW31" s="13" t="str">
        <f t="shared" si="43"/>
        <v/>
      </c>
      <c r="GX31" s="13" t="str">
        <f t="shared" si="43"/>
        <v/>
      </c>
      <c r="GY31" s="13" t="str">
        <f t="shared" si="43"/>
        <v/>
      </c>
      <c r="GZ31" s="13" t="str">
        <f t="shared" si="43"/>
        <v/>
      </c>
      <c r="HA31" s="13" t="str">
        <f t="shared" si="43"/>
        <v/>
      </c>
      <c r="HB31" s="13" t="str">
        <f t="shared" si="43"/>
        <v/>
      </c>
      <c r="HC31" s="13" t="str">
        <f t="shared" si="43"/>
        <v/>
      </c>
      <c r="HD31" s="13" t="str">
        <f t="shared" si="43"/>
        <v/>
      </c>
      <c r="HE31" s="13" t="str">
        <f t="shared" si="43"/>
        <v/>
      </c>
      <c r="HF31" s="13" t="str">
        <f t="shared" si="43"/>
        <v/>
      </c>
      <c r="HG31" s="13" t="str">
        <f t="shared" si="43"/>
        <v/>
      </c>
      <c r="HH31" s="13" t="str">
        <f t="shared" si="43"/>
        <v/>
      </c>
      <c r="HI31" s="13" t="str">
        <f t="shared" si="43"/>
        <v/>
      </c>
      <c r="HJ31" s="13" t="str">
        <f t="shared" si="43"/>
        <v/>
      </c>
      <c r="HK31" s="13" t="str">
        <f t="shared" si="43"/>
        <v/>
      </c>
      <c r="HL31" s="13" t="str">
        <f t="shared" si="43"/>
        <v/>
      </c>
      <c r="HM31" s="13" t="str">
        <f t="shared" si="43"/>
        <v/>
      </c>
      <c r="HN31" s="13" t="str">
        <f t="shared" si="43"/>
        <v/>
      </c>
      <c r="HO31" s="13" t="str">
        <f t="shared" si="43"/>
        <v/>
      </c>
      <c r="HP31" s="13" t="str">
        <f t="shared" si="43"/>
        <v/>
      </c>
      <c r="HQ31" s="13" t="str">
        <f t="shared" si="43"/>
        <v/>
      </c>
      <c r="HR31" s="13" t="str">
        <f t="shared" si="43"/>
        <v/>
      </c>
      <c r="HS31" s="13" t="str">
        <f t="shared" si="43"/>
        <v/>
      </c>
      <c r="HT31" s="13" t="str">
        <f t="shared" si="43"/>
        <v/>
      </c>
      <c r="HU31" s="13" t="str">
        <f t="shared" si="43"/>
        <v/>
      </c>
      <c r="HV31" s="13" t="str">
        <f t="shared" si="43"/>
        <v/>
      </c>
      <c r="HW31" s="13" t="str">
        <f t="shared" si="43"/>
        <v/>
      </c>
      <c r="HX31" s="13" t="str">
        <f t="shared" si="43"/>
        <v/>
      </c>
      <c r="HY31" s="13" t="str">
        <f t="shared" si="43"/>
        <v/>
      </c>
      <c r="HZ31" s="13" t="str">
        <f t="shared" si="43"/>
        <v/>
      </c>
      <c r="IA31" s="13" t="str">
        <f t="shared" si="43"/>
        <v/>
      </c>
      <c r="IB31" s="13" t="str">
        <f t="shared" si="43"/>
        <v/>
      </c>
      <c r="IC31" s="13" t="str">
        <f t="shared" si="43"/>
        <v/>
      </c>
      <c r="ID31" s="13" t="str">
        <f t="shared" si="43"/>
        <v/>
      </c>
      <c r="IE31" s="13" t="str">
        <f t="shared" si="42"/>
        <v/>
      </c>
      <c r="IF31" s="13" t="str">
        <f t="shared" si="42"/>
        <v/>
      </c>
      <c r="IG31" s="13" t="str">
        <f t="shared" ref="IG31:KR43" si="47">IF(IG60&gt;0,TEXT(IG$50,"R"&amp;0)&amp;", ","")</f>
        <v/>
      </c>
      <c r="IH31" s="13" t="str">
        <f t="shared" si="47"/>
        <v/>
      </c>
      <c r="II31" s="13" t="str">
        <f t="shared" si="47"/>
        <v/>
      </c>
      <c r="IJ31" s="13" t="str">
        <f t="shared" si="47"/>
        <v/>
      </c>
      <c r="IK31" s="13" t="str">
        <f t="shared" si="47"/>
        <v/>
      </c>
      <c r="IL31" s="13" t="str">
        <f t="shared" si="47"/>
        <v/>
      </c>
      <c r="IM31" s="13" t="str">
        <f t="shared" si="47"/>
        <v/>
      </c>
      <c r="IN31" s="13" t="str">
        <f t="shared" si="47"/>
        <v/>
      </c>
      <c r="IO31" s="13" t="str">
        <f t="shared" si="47"/>
        <v/>
      </c>
      <c r="IP31" s="13" t="str">
        <f t="shared" si="47"/>
        <v/>
      </c>
      <c r="IQ31" s="13" t="str">
        <f t="shared" si="47"/>
        <v/>
      </c>
      <c r="IR31" s="13" t="str">
        <f t="shared" si="47"/>
        <v/>
      </c>
      <c r="IS31" s="13" t="str">
        <f t="shared" si="47"/>
        <v/>
      </c>
      <c r="IT31" s="13" t="str">
        <f t="shared" si="47"/>
        <v/>
      </c>
      <c r="IU31" s="13" t="str">
        <f t="shared" si="47"/>
        <v/>
      </c>
      <c r="IV31" s="13" t="str">
        <f t="shared" si="47"/>
        <v/>
      </c>
      <c r="IW31" s="13" t="str">
        <f t="shared" si="47"/>
        <v/>
      </c>
      <c r="IX31" s="13" t="str">
        <f t="shared" si="47"/>
        <v/>
      </c>
      <c r="IY31" s="13" t="str">
        <f t="shared" si="47"/>
        <v/>
      </c>
      <c r="IZ31" s="13" t="str">
        <f t="shared" si="47"/>
        <v/>
      </c>
      <c r="JA31" s="13" t="str">
        <f t="shared" si="47"/>
        <v/>
      </c>
      <c r="JB31" s="13" t="str">
        <f t="shared" si="47"/>
        <v/>
      </c>
      <c r="JC31" s="13" t="str">
        <f t="shared" si="47"/>
        <v/>
      </c>
      <c r="JD31" s="13" t="str">
        <f t="shared" si="47"/>
        <v/>
      </c>
      <c r="JE31" s="13" t="str">
        <f t="shared" si="47"/>
        <v/>
      </c>
      <c r="JF31" s="13" t="str">
        <f t="shared" si="47"/>
        <v/>
      </c>
      <c r="JG31" s="13" t="str">
        <f t="shared" si="47"/>
        <v/>
      </c>
      <c r="JH31" s="13" t="str">
        <f t="shared" si="47"/>
        <v/>
      </c>
      <c r="JI31" s="13" t="str">
        <f t="shared" si="47"/>
        <v/>
      </c>
      <c r="JJ31" s="13" t="str">
        <f t="shared" si="47"/>
        <v/>
      </c>
      <c r="JK31" s="13" t="str">
        <f t="shared" si="47"/>
        <v/>
      </c>
      <c r="JL31" s="13" t="str">
        <f t="shared" si="47"/>
        <v/>
      </c>
      <c r="JM31" s="13" t="str">
        <f t="shared" si="47"/>
        <v/>
      </c>
      <c r="JN31" s="13" t="str">
        <f t="shared" si="47"/>
        <v/>
      </c>
      <c r="JO31" s="13" t="str">
        <f t="shared" si="47"/>
        <v/>
      </c>
      <c r="JP31" s="13" t="str">
        <f t="shared" si="47"/>
        <v/>
      </c>
      <c r="JQ31" s="13" t="str">
        <f t="shared" si="47"/>
        <v/>
      </c>
      <c r="JR31" s="13" t="str">
        <f t="shared" si="47"/>
        <v/>
      </c>
      <c r="JS31" s="13" t="str">
        <f t="shared" si="47"/>
        <v/>
      </c>
      <c r="JT31" s="13" t="str">
        <f t="shared" si="47"/>
        <v/>
      </c>
      <c r="JU31" s="13" t="str">
        <f t="shared" si="47"/>
        <v/>
      </c>
      <c r="JV31" s="13" t="str">
        <f t="shared" si="47"/>
        <v/>
      </c>
      <c r="JW31" s="13" t="str">
        <f t="shared" si="47"/>
        <v/>
      </c>
      <c r="JX31" s="13" t="str">
        <f t="shared" si="47"/>
        <v/>
      </c>
      <c r="JY31" s="13" t="str">
        <f t="shared" si="47"/>
        <v/>
      </c>
      <c r="JZ31" s="13" t="str">
        <f t="shared" si="47"/>
        <v/>
      </c>
      <c r="KA31" s="13" t="str">
        <f t="shared" si="47"/>
        <v/>
      </c>
      <c r="KB31" s="13" t="str">
        <f t="shared" si="47"/>
        <v/>
      </c>
      <c r="KC31" s="13" t="str">
        <f t="shared" si="47"/>
        <v/>
      </c>
      <c r="KD31" s="13" t="str">
        <f t="shared" si="47"/>
        <v/>
      </c>
      <c r="KE31" s="13" t="str">
        <f t="shared" si="47"/>
        <v/>
      </c>
      <c r="KF31" s="13" t="str">
        <f t="shared" si="47"/>
        <v/>
      </c>
      <c r="KG31" s="13" t="str">
        <f t="shared" si="47"/>
        <v/>
      </c>
      <c r="KH31" s="13" t="str">
        <f t="shared" si="47"/>
        <v/>
      </c>
      <c r="KI31" s="13" t="str">
        <f t="shared" si="47"/>
        <v/>
      </c>
      <c r="KJ31" s="13" t="str">
        <f t="shared" si="47"/>
        <v/>
      </c>
      <c r="KK31" s="13" t="str">
        <f t="shared" si="47"/>
        <v/>
      </c>
      <c r="KL31" s="13" t="str">
        <f t="shared" si="47"/>
        <v/>
      </c>
      <c r="KM31" s="13" t="str">
        <f t="shared" si="47"/>
        <v/>
      </c>
      <c r="KN31" s="13" t="str">
        <f t="shared" si="47"/>
        <v/>
      </c>
      <c r="KO31" s="13" t="str">
        <f t="shared" si="47"/>
        <v/>
      </c>
      <c r="KP31" s="13" t="str">
        <f t="shared" si="47"/>
        <v/>
      </c>
      <c r="KQ31" s="13" t="str">
        <f t="shared" si="47"/>
        <v/>
      </c>
      <c r="KR31" s="13" t="str">
        <f t="shared" si="47"/>
        <v/>
      </c>
      <c r="KS31" s="13" t="str">
        <f t="shared" si="44"/>
        <v/>
      </c>
      <c r="KT31" s="13" t="str">
        <f t="shared" ref="KT31:MG37" si="48">IF(KT60&gt;0,TEXT(KT$50,"R"&amp;0)&amp;", ","")</f>
        <v/>
      </c>
      <c r="KU31" s="13" t="str">
        <f t="shared" si="48"/>
        <v/>
      </c>
      <c r="KV31" s="13" t="str">
        <f t="shared" si="48"/>
        <v/>
      </c>
      <c r="KW31" s="13" t="str">
        <f t="shared" si="48"/>
        <v/>
      </c>
      <c r="KX31" s="13" t="str">
        <f t="shared" si="48"/>
        <v/>
      </c>
      <c r="KY31" s="13" t="str">
        <f t="shared" si="48"/>
        <v/>
      </c>
      <c r="KZ31" s="13" t="str">
        <f t="shared" si="48"/>
        <v/>
      </c>
      <c r="LA31" s="13" t="str">
        <f t="shared" si="48"/>
        <v/>
      </c>
      <c r="LB31" s="13" t="str">
        <f t="shared" si="48"/>
        <v/>
      </c>
      <c r="LC31" s="13" t="str">
        <f t="shared" si="48"/>
        <v/>
      </c>
      <c r="LD31" s="13" t="str">
        <f t="shared" si="48"/>
        <v/>
      </c>
      <c r="LE31" s="13" t="str">
        <f t="shared" si="48"/>
        <v/>
      </c>
      <c r="LF31" s="13" t="str">
        <f t="shared" si="48"/>
        <v/>
      </c>
      <c r="LG31" s="13" t="str">
        <f t="shared" si="48"/>
        <v/>
      </c>
      <c r="LH31" s="13" t="str">
        <f t="shared" si="48"/>
        <v/>
      </c>
      <c r="LI31" s="13" t="str">
        <f t="shared" si="48"/>
        <v/>
      </c>
      <c r="LJ31" s="13" t="str">
        <f t="shared" si="48"/>
        <v/>
      </c>
      <c r="LK31" s="13" t="str">
        <f t="shared" si="48"/>
        <v/>
      </c>
      <c r="LL31" s="13" t="str">
        <f t="shared" si="48"/>
        <v/>
      </c>
      <c r="LM31" s="13" t="str">
        <f t="shared" si="48"/>
        <v/>
      </c>
      <c r="LN31" s="13" t="str">
        <f t="shared" si="48"/>
        <v/>
      </c>
      <c r="LO31" s="13" t="str">
        <f t="shared" si="48"/>
        <v/>
      </c>
      <c r="LP31" s="13" t="str">
        <f t="shared" si="48"/>
        <v/>
      </c>
      <c r="LQ31" s="13" t="str">
        <f t="shared" si="48"/>
        <v/>
      </c>
      <c r="LR31" s="13" t="str">
        <f t="shared" si="48"/>
        <v/>
      </c>
      <c r="LS31" s="13" t="str">
        <f t="shared" si="48"/>
        <v/>
      </c>
      <c r="LT31" s="13" t="str">
        <f t="shared" si="48"/>
        <v/>
      </c>
      <c r="LU31" s="13" t="str">
        <f t="shared" si="48"/>
        <v/>
      </c>
      <c r="LV31" s="13" t="str">
        <f t="shared" si="48"/>
        <v/>
      </c>
      <c r="LW31" s="13" t="str">
        <f t="shared" si="48"/>
        <v/>
      </c>
      <c r="LX31" s="13" t="str">
        <f t="shared" si="48"/>
        <v/>
      </c>
      <c r="LY31" s="13" t="str">
        <f t="shared" si="48"/>
        <v/>
      </c>
      <c r="LZ31" s="13" t="str">
        <f t="shared" si="48"/>
        <v/>
      </c>
      <c r="MA31" s="13" t="str">
        <f t="shared" si="48"/>
        <v/>
      </c>
      <c r="MB31" s="13" t="str">
        <f t="shared" si="48"/>
        <v/>
      </c>
      <c r="MC31" s="13" t="str">
        <f t="shared" si="48"/>
        <v/>
      </c>
      <c r="MD31" s="13" t="str">
        <f t="shared" si="48"/>
        <v/>
      </c>
      <c r="ME31" s="13" t="str">
        <f t="shared" si="48"/>
        <v/>
      </c>
      <c r="MF31" s="13" t="str">
        <f t="shared" si="48"/>
        <v/>
      </c>
      <c r="MG31" s="13" t="str">
        <f t="shared" si="48"/>
        <v/>
      </c>
    </row>
    <row r="32" spans="1:345" x14ac:dyDescent="0.2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V32" s="8" t="str">
        <f t="shared" si="19"/>
        <v/>
      </c>
      <c r="W32" s="38" t="e">
        <f t="shared" si="7"/>
        <v>#N/A</v>
      </c>
      <c r="X32" s="38" t="e">
        <f t="shared" si="8"/>
        <v>#N/A</v>
      </c>
      <c r="Y32" s="45" t="str">
        <f t="shared" si="9"/>
        <v/>
      </c>
      <c r="Z32" s="40" t="str">
        <f t="shared" si="10"/>
        <v/>
      </c>
      <c r="AA32" s="49" t="e">
        <f t="shared" si="11"/>
        <v>#N/A</v>
      </c>
      <c r="AB32" s="40" t="str">
        <f t="shared" si="12"/>
        <v/>
      </c>
      <c r="AC32" s="49" t="e">
        <f t="shared" si="13"/>
        <v>#N/A</v>
      </c>
      <c r="AE32" s="9" t="str">
        <f t="shared" si="20"/>
        <v/>
      </c>
      <c r="AF32" s="9" t="str">
        <f t="shared" si="21"/>
        <v/>
      </c>
      <c r="AG32" s="9" t="str">
        <f t="shared" si="22"/>
        <v/>
      </c>
      <c r="AH32" s="9" t="str">
        <f t="shared" si="23"/>
        <v/>
      </c>
      <c r="AI32" s="9" t="str">
        <f t="shared" si="24"/>
        <v/>
      </c>
      <c r="AJ32" s="9" t="str">
        <f t="shared" si="25"/>
        <v/>
      </c>
      <c r="AK32" s="9" t="str">
        <f t="shared" si="26"/>
        <v/>
      </c>
      <c r="AL32" s="9" t="str">
        <f t="shared" si="27"/>
        <v/>
      </c>
      <c r="AM32" s="9" t="str">
        <f t="shared" si="28"/>
        <v/>
      </c>
      <c r="AN32" s="9" t="str">
        <f t="shared" si="29"/>
        <v/>
      </c>
      <c r="AO32" s="10" t="str">
        <f t="shared" si="30"/>
        <v/>
      </c>
      <c r="AP32" s="11">
        <f t="shared" si="31"/>
        <v>0</v>
      </c>
      <c r="AR32" s="13" t="str">
        <f t="shared" si="34"/>
        <v/>
      </c>
      <c r="AS32" s="13" t="str">
        <f t="shared" si="32"/>
        <v/>
      </c>
      <c r="AT32" s="13" t="str">
        <f t="shared" si="33"/>
        <v/>
      </c>
      <c r="AU32" s="13" t="str">
        <f t="shared" ref="AU32:DF35" si="49">IF(AU61&gt;0,TEXT(AU$50,"R"&amp;0)&amp;", ","")</f>
        <v/>
      </c>
      <c r="AV32" s="13" t="str">
        <f t="shared" si="49"/>
        <v/>
      </c>
      <c r="AW32" s="13" t="str">
        <f t="shared" si="49"/>
        <v/>
      </c>
      <c r="AX32" s="13" t="str">
        <f t="shared" si="49"/>
        <v/>
      </c>
      <c r="AY32" s="13" t="str">
        <f t="shared" si="49"/>
        <v/>
      </c>
      <c r="AZ32" s="13" t="str">
        <f t="shared" si="49"/>
        <v/>
      </c>
      <c r="BA32" s="13" t="str">
        <f t="shared" si="49"/>
        <v/>
      </c>
      <c r="BB32" s="13" t="str">
        <f t="shared" si="49"/>
        <v/>
      </c>
      <c r="BC32" s="13" t="str">
        <f t="shared" si="49"/>
        <v/>
      </c>
      <c r="BD32" s="13" t="str">
        <f t="shared" si="49"/>
        <v/>
      </c>
      <c r="BE32" s="13" t="str">
        <f t="shared" si="49"/>
        <v/>
      </c>
      <c r="BF32" s="13" t="str">
        <f t="shared" si="49"/>
        <v/>
      </c>
      <c r="BG32" s="13" t="str">
        <f t="shared" si="49"/>
        <v/>
      </c>
      <c r="BH32" s="13" t="str">
        <f t="shared" si="49"/>
        <v/>
      </c>
      <c r="BI32" s="13" t="str">
        <f t="shared" si="49"/>
        <v/>
      </c>
      <c r="BJ32" s="13" t="str">
        <f t="shared" si="49"/>
        <v/>
      </c>
      <c r="BK32" s="13" t="str">
        <f t="shared" si="49"/>
        <v/>
      </c>
      <c r="BL32" s="13" t="str">
        <f t="shared" si="49"/>
        <v/>
      </c>
      <c r="BM32" s="13" t="str">
        <f t="shared" si="49"/>
        <v/>
      </c>
      <c r="BN32" s="13" t="str">
        <f t="shared" si="49"/>
        <v/>
      </c>
      <c r="BO32" s="13" t="str">
        <f t="shared" si="49"/>
        <v/>
      </c>
      <c r="BP32" s="13" t="str">
        <f t="shared" si="49"/>
        <v/>
      </c>
      <c r="BQ32" s="13" t="str">
        <f t="shared" si="49"/>
        <v/>
      </c>
      <c r="BR32" s="13" t="str">
        <f t="shared" si="49"/>
        <v/>
      </c>
      <c r="BS32" s="13" t="str">
        <f t="shared" si="49"/>
        <v/>
      </c>
      <c r="BT32" s="13" t="str">
        <f t="shared" si="49"/>
        <v/>
      </c>
      <c r="BU32" s="13" t="str">
        <f t="shared" si="49"/>
        <v/>
      </c>
      <c r="BV32" s="13" t="str">
        <f t="shared" si="49"/>
        <v/>
      </c>
      <c r="BW32" s="13" t="str">
        <f t="shared" si="49"/>
        <v/>
      </c>
      <c r="BX32" s="13" t="str">
        <f t="shared" si="49"/>
        <v/>
      </c>
      <c r="BY32" s="13" t="str">
        <f t="shared" si="49"/>
        <v/>
      </c>
      <c r="BZ32" s="13" t="str">
        <f t="shared" si="49"/>
        <v/>
      </c>
      <c r="CA32" s="13" t="str">
        <f t="shared" si="49"/>
        <v/>
      </c>
      <c r="CB32" s="13" t="str">
        <f t="shared" si="49"/>
        <v/>
      </c>
      <c r="CC32" s="13" t="str">
        <f t="shared" si="49"/>
        <v/>
      </c>
      <c r="CD32" s="13" t="str">
        <f t="shared" si="49"/>
        <v/>
      </c>
      <c r="CE32" s="13" t="str">
        <f t="shared" si="49"/>
        <v/>
      </c>
      <c r="CF32" s="13" t="str">
        <f t="shared" si="49"/>
        <v/>
      </c>
      <c r="CG32" s="13" t="str">
        <f t="shared" si="49"/>
        <v/>
      </c>
      <c r="CH32" s="13" t="str">
        <f t="shared" si="49"/>
        <v/>
      </c>
      <c r="CI32" s="13" t="str">
        <f t="shared" si="49"/>
        <v/>
      </c>
      <c r="CJ32" s="13" t="str">
        <f t="shared" si="49"/>
        <v/>
      </c>
      <c r="CK32" s="13" t="str">
        <f t="shared" si="49"/>
        <v/>
      </c>
      <c r="CL32" s="13" t="str">
        <f t="shared" si="49"/>
        <v/>
      </c>
      <c r="CM32" s="13" t="str">
        <f t="shared" si="49"/>
        <v/>
      </c>
      <c r="CN32" s="13" t="str">
        <f t="shared" si="49"/>
        <v/>
      </c>
      <c r="CO32" s="13" t="str">
        <f t="shared" si="49"/>
        <v/>
      </c>
      <c r="CP32" s="13" t="str">
        <f t="shared" si="49"/>
        <v/>
      </c>
      <c r="CQ32" s="13" t="str">
        <f t="shared" si="49"/>
        <v/>
      </c>
      <c r="CR32" s="13" t="str">
        <f t="shared" si="49"/>
        <v/>
      </c>
      <c r="CS32" s="13" t="str">
        <f t="shared" si="49"/>
        <v/>
      </c>
      <c r="CT32" s="13" t="str">
        <f t="shared" si="49"/>
        <v/>
      </c>
      <c r="CU32" s="13" t="str">
        <f t="shared" si="49"/>
        <v/>
      </c>
      <c r="CV32" s="13" t="str">
        <f t="shared" si="49"/>
        <v/>
      </c>
      <c r="CW32" s="13" t="str">
        <f t="shared" si="49"/>
        <v/>
      </c>
      <c r="CX32" s="13" t="str">
        <f t="shared" si="49"/>
        <v/>
      </c>
      <c r="CY32" s="13" t="str">
        <f t="shared" si="49"/>
        <v/>
      </c>
      <c r="CZ32" s="13" t="str">
        <f t="shared" si="49"/>
        <v/>
      </c>
      <c r="DA32" s="13" t="str">
        <f t="shared" si="49"/>
        <v/>
      </c>
      <c r="DB32" s="13" t="str">
        <f t="shared" si="49"/>
        <v/>
      </c>
      <c r="DC32" s="13" t="str">
        <f t="shared" si="49"/>
        <v/>
      </c>
      <c r="DD32" s="13" t="str">
        <f t="shared" si="49"/>
        <v/>
      </c>
      <c r="DE32" s="13" t="str">
        <f t="shared" si="49"/>
        <v/>
      </c>
      <c r="DF32" s="13" t="str">
        <f t="shared" si="49"/>
        <v/>
      </c>
      <c r="DG32" s="13" t="str">
        <f t="shared" si="46"/>
        <v/>
      </c>
      <c r="DH32" s="13" t="str">
        <f t="shared" si="46"/>
        <v/>
      </c>
      <c r="DI32" s="13" t="str">
        <f t="shared" si="46"/>
        <v/>
      </c>
      <c r="DJ32" s="13" t="str">
        <f t="shared" si="46"/>
        <v/>
      </c>
      <c r="DK32" s="13" t="str">
        <f t="shared" si="46"/>
        <v/>
      </c>
      <c r="DL32" s="13" t="str">
        <f t="shared" si="46"/>
        <v/>
      </c>
      <c r="DM32" s="13" t="str">
        <f t="shared" si="46"/>
        <v/>
      </c>
      <c r="DN32" s="13" t="str">
        <f t="shared" si="46"/>
        <v/>
      </c>
      <c r="DO32" s="13" t="str">
        <f t="shared" si="46"/>
        <v/>
      </c>
      <c r="DP32" s="13" t="str">
        <f t="shared" si="46"/>
        <v/>
      </c>
      <c r="DQ32" s="13" t="str">
        <f t="shared" si="46"/>
        <v/>
      </c>
      <c r="DR32" s="13" t="str">
        <f t="shared" si="46"/>
        <v/>
      </c>
      <c r="DS32" s="13" t="str">
        <f t="shared" si="46"/>
        <v/>
      </c>
      <c r="DT32" s="13" t="str">
        <f t="shared" si="46"/>
        <v/>
      </c>
      <c r="DU32" s="13" t="str">
        <f t="shared" si="46"/>
        <v/>
      </c>
      <c r="DV32" s="13" t="str">
        <f t="shared" si="46"/>
        <v/>
      </c>
      <c r="DW32" s="13" t="str">
        <f t="shared" si="46"/>
        <v/>
      </c>
      <c r="DX32" s="13" t="str">
        <f t="shared" si="46"/>
        <v/>
      </c>
      <c r="DY32" s="13" t="str">
        <f t="shared" si="46"/>
        <v/>
      </c>
      <c r="DZ32" s="13" t="str">
        <f t="shared" si="46"/>
        <v/>
      </c>
      <c r="EA32" s="13" t="str">
        <f t="shared" si="46"/>
        <v/>
      </c>
      <c r="EB32" s="13" t="str">
        <f t="shared" si="46"/>
        <v/>
      </c>
      <c r="EC32" s="13" t="str">
        <f t="shared" si="46"/>
        <v/>
      </c>
      <c r="ED32" s="13" t="str">
        <f t="shared" si="46"/>
        <v/>
      </c>
      <c r="EE32" s="13" t="str">
        <f t="shared" si="46"/>
        <v/>
      </c>
      <c r="EF32" s="13" t="str">
        <f t="shared" si="46"/>
        <v/>
      </c>
      <c r="EG32" s="13" t="str">
        <f t="shared" si="46"/>
        <v/>
      </c>
      <c r="EH32" s="13" t="str">
        <f t="shared" si="46"/>
        <v/>
      </c>
      <c r="EI32" s="13" t="str">
        <f t="shared" si="46"/>
        <v/>
      </c>
      <c r="EJ32" s="13" t="str">
        <f t="shared" si="46"/>
        <v/>
      </c>
      <c r="EK32" s="13" t="str">
        <f t="shared" si="46"/>
        <v/>
      </c>
      <c r="EL32" s="13" t="str">
        <f t="shared" si="46"/>
        <v/>
      </c>
      <c r="EM32" s="13" t="str">
        <f t="shared" si="46"/>
        <v/>
      </c>
      <c r="EN32" s="13" t="str">
        <f t="shared" si="46"/>
        <v/>
      </c>
      <c r="EO32" s="13" t="str">
        <f t="shared" si="46"/>
        <v/>
      </c>
      <c r="EP32" s="13" t="str">
        <f t="shared" si="46"/>
        <v/>
      </c>
      <c r="EQ32" s="13" t="str">
        <f t="shared" si="46"/>
        <v/>
      </c>
      <c r="ER32" s="13" t="str">
        <f t="shared" si="46"/>
        <v/>
      </c>
      <c r="ES32" s="13" t="str">
        <f t="shared" si="46"/>
        <v/>
      </c>
      <c r="ET32" s="13" t="str">
        <f t="shared" si="46"/>
        <v/>
      </c>
      <c r="EU32" s="13" t="str">
        <f t="shared" si="46"/>
        <v/>
      </c>
      <c r="EV32" s="13" t="str">
        <f t="shared" si="46"/>
        <v/>
      </c>
      <c r="EW32" s="13" t="str">
        <f t="shared" si="46"/>
        <v/>
      </c>
      <c r="EX32" s="13" t="str">
        <f t="shared" si="46"/>
        <v/>
      </c>
      <c r="EY32" s="13" t="str">
        <f t="shared" si="46"/>
        <v/>
      </c>
      <c r="EZ32" s="13" t="str">
        <f t="shared" si="46"/>
        <v/>
      </c>
      <c r="FA32" s="13" t="str">
        <f t="shared" si="46"/>
        <v/>
      </c>
      <c r="FB32" s="13" t="str">
        <f t="shared" si="46"/>
        <v/>
      </c>
      <c r="FC32" s="13" t="str">
        <f t="shared" si="46"/>
        <v/>
      </c>
      <c r="FD32" s="13" t="str">
        <f t="shared" si="46"/>
        <v/>
      </c>
      <c r="FE32" s="13" t="str">
        <f t="shared" si="46"/>
        <v/>
      </c>
      <c r="FF32" s="13" t="str">
        <f t="shared" si="46"/>
        <v/>
      </c>
      <c r="FG32" s="13" t="str">
        <f t="shared" si="46"/>
        <v/>
      </c>
      <c r="FH32" s="13" t="str">
        <f t="shared" si="46"/>
        <v/>
      </c>
      <c r="FI32" s="13" t="str">
        <f t="shared" si="46"/>
        <v/>
      </c>
      <c r="FJ32" s="13" t="str">
        <f t="shared" si="46"/>
        <v/>
      </c>
      <c r="FK32" s="13" t="str">
        <f t="shared" si="46"/>
        <v/>
      </c>
      <c r="FL32" s="13" t="str">
        <f t="shared" si="46"/>
        <v/>
      </c>
      <c r="FM32" s="13" t="str">
        <f t="shared" si="46"/>
        <v/>
      </c>
      <c r="FN32" s="13" t="str">
        <f t="shared" si="46"/>
        <v/>
      </c>
      <c r="FO32" s="13" t="str">
        <f t="shared" si="46"/>
        <v/>
      </c>
      <c r="FP32" s="13" t="str">
        <f t="shared" si="46"/>
        <v/>
      </c>
      <c r="FQ32" s="13" t="str">
        <f t="shared" si="46"/>
        <v/>
      </c>
      <c r="FR32" s="13" t="str">
        <f t="shared" si="38"/>
        <v/>
      </c>
      <c r="FS32" s="13" t="str">
        <f t="shared" si="43"/>
        <v/>
      </c>
      <c r="FT32" s="13" t="str">
        <f t="shared" si="43"/>
        <v/>
      </c>
      <c r="FU32" s="13" t="str">
        <f t="shared" si="43"/>
        <v/>
      </c>
      <c r="FV32" s="13" t="str">
        <f t="shared" si="43"/>
        <v/>
      </c>
      <c r="FW32" s="13" t="str">
        <f t="shared" si="43"/>
        <v/>
      </c>
      <c r="FX32" s="13" t="str">
        <f t="shared" si="43"/>
        <v/>
      </c>
      <c r="FY32" s="13" t="str">
        <f t="shared" si="43"/>
        <v/>
      </c>
      <c r="FZ32" s="13" t="str">
        <f t="shared" si="43"/>
        <v/>
      </c>
      <c r="GA32" s="13" t="str">
        <f t="shared" si="43"/>
        <v/>
      </c>
      <c r="GB32" s="13" t="str">
        <f t="shared" si="43"/>
        <v/>
      </c>
      <c r="GC32" s="13" t="str">
        <f t="shared" si="43"/>
        <v/>
      </c>
      <c r="GD32" s="13" t="str">
        <f t="shared" si="43"/>
        <v/>
      </c>
      <c r="GE32" s="13" t="str">
        <f t="shared" si="43"/>
        <v/>
      </c>
      <c r="GF32" s="13" t="str">
        <f t="shared" si="43"/>
        <v/>
      </c>
      <c r="GG32" s="13" t="str">
        <f t="shared" si="43"/>
        <v/>
      </c>
      <c r="GH32" s="13" t="str">
        <f t="shared" si="43"/>
        <v/>
      </c>
      <c r="GI32" s="13" t="str">
        <f t="shared" si="43"/>
        <v/>
      </c>
      <c r="GJ32" s="13" t="str">
        <f t="shared" si="43"/>
        <v/>
      </c>
      <c r="GK32" s="13" t="str">
        <f t="shared" si="43"/>
        <v/>
      </c>
      <c r="GL32" s="13" t="str">
        <f t="shared" si="43"/>
        <v/>
      </c>
      <c r="GM32" s="13" t="str">
        <f t="shared" si="43"/>
        <v/>
      </c>
      <c r="GN32" s="13" t="str">
        <f t="shared" si="43"/>
        <v/>
      </c>
      <c r="GO32" s="13" t="str">
        <f t="shared" si="43"/>
        <v/>
      </c>
      <c r="GP32" s="13" t="str">
        <f t="shared" si="43"/>
        <v/>
      </c>
      <c r="GQ32" s="13" t="str">
        <f t="shared" si="43"/>
        <v/>
      </c>
      <c r="GR32" s="13" t="str">
        <f t="shared" si="43"/>
        <v/>
      </c>
      <c r="GS32" s="13" t="str">
        <f t="shared" si="43"/>
        <v/>
      </c>
      <c r="GT32" s="13" t="str">
        <f t="shared" si="43"/>
        <v/>
      </c>
      <c r="GU32" s="13" t="str">
        <f t="shared" si="43"/>
        <v/>
      </c>
      <c r="GV32" s="13" t="str">
        <f t="shared" si="43"/>
        <v/>
      </c>
      <c r="GW32" s="13" t="str">
        <f t="shared" si="43"/>
        <v/>
      </c>
      <c r="GX32" s="13" t="str">
        <f t="shared" si="43"/>
        <v/>
      </c>
      <c r="GY32" s="13" t="str">
        <f t="shared" si="43"/>
        <v/>
      </c>
      <c r="GZ32" s="13" t="str">
        <f t="shared" si="43"/>
        <v/>
      </c>
      <c r="HA32" s="13" t="str">
        <f t="shared" si="43"/>
        <v/>
      </c>
      <c r="HB32" s="13" t="str">
        <f t="shared" si="43"/>
        <v/>
      </c>
      <c r="HC32" s="13" t="str">
        <f t="shared" si="43"/>
        <v/>
      </c>
      <c r="HD32" s="13" t="str">
        <f t="shared" si="43"/>
        <v/>
      </c>
      <c r="HE32" s="13" t="str">
        <f t="shared" si="43"/>
        <v/>
      </c>
      <c r="HF32" s="13" t="str">
        <f t="shared" si="43"/>
        <v/>
      </c>
      <c r="HG32" s="13" t="str">
        <f t="shared" si="43"/>
        <v/>
      </c>
      <c r="HH32" s="13" t="str">
        <f t="shared" si="43"/>
        <v/>
      </c>
      <c r="HI32" s="13" t="str">
        <f t="shared" si="43"/>
        <v/>
      </c>
      <c r="HJ32" s="13" t="str">
        <f t="shared" si="43"/>
        <v/>
      </c>
      <c r="HK32" s="13" t="str">
        <f t="shared" si="43"/>
        <v/>
      </c>
      <c r="HL32" s="13" t="str">
        <f t="shared" si="43"/>
        <v/>
      </c>
      <c r="HM32" s="13" t="str">
        <f t="shared" si="43"/>
        <v/>
      </c>
      <c r="HN32" s="13" t="str">
        <f t="shared" si="43"/>
        <v/>
      </c>
      <c r="HO32" s="13" t="str">
        <f t="shared" si="43"/>
        <v/>
      </c>
      <c r="HP32" s="13" t="str">
        <f t="shared" si="43"/>
        <v/>
      </c>
      <c r="HQ32" s="13" t="str">
        <f t="shared" si="43"/>
        <v/>
      </c>
      <c r="HR32" s="13" t="str">
        <f t="shared" si="43"/>
        <v/>
      </c>
      <c r="HS32" s="13" t="str">
        <f t="shared" si="43"/>
        <v/>
      </c>
      <c r="HT32" s="13" t="str">
        <f t="shared" si="43"/>
        <v/>
      </c>
      <c r="HU32" s="13" t="str">
        <f t="shared" si="43"/>
        <v/>
      </c>
      <c r="HV32" s="13" t="str">
        <f t="shared" si="43"/>
        <v/>
      </c>
      <c r="HW32" s="13" t="str">
        <f t="shared" si="43"/>
        <v/>
      </c>
      <c r="HX32" s="13" t="str">
        <f t="shared" si="43"/>
        <v/>
      </c>
      <c r="HY32" s="13" t="str">
        <f t="shared" si="43"/>
        <v/>
      </c>
      <c r="HZ32" s="13" t="str">
        <f t="shared" si="43"/>
        <v/>
      </c>
      <c r="IA32" s="13" t="str">
        <f t="shared" si="43"/>
        <v/>
      </c>
      <c r="IB32" s="13" t="str">
        <f t="shared" si="43"/>
        <v/>
      </c>
      <c r="IC32" s="13" t="str">
        <f t="shared" si="43"/>
        <v/>
      </c>
      <c r="ID32" s="13" t="str">
        <f t="shared" si="43"/>
        <v/>
      </c>
      <c r="IE32" s="13" t="str">
        <f t="shared" si="42"/>
        <v/>
      </c>
      <c r="IF32" s="13" t="str">
        <f t="shared" si="42"/>
        <v/>
      </c>
      <c r="IG32" s="13" t="str">
        <f t="shared" si="47"/>
        <v/>
      </c>
      <c r="IH32" s="13" t="str">
        <f t="shared" si="47"/>
        <v/>
      </c>
      <c r="II32" s="13" t="str">
        <f t="shared" si="47"/>
        <v/>
      </c>
      <c r="IJ32" s="13" t="str">
        <f t="shared" si="47"/>
        <v/>
      </c>
      <c r="IK32" s="13" t="str">
        <f t="shared" si="47"/>
        <v/>
      </c>
      <c r="IL32" s="13" t="str">
        <f t="shared" si="47"/>
        <v/>
      </c>
      <c r="IM32" s="13" t="str">
        <f t="shared" si="47"/>
        <v/>
      </c>
      <c r="IN32" s="13" t="str">
        <f t="shared" si="47"/>
        <v/>
      </c>
      <c r="IO32" s="13" t="str">
        <f t="shared" si="47"/>
        <v/>
      </c>
      <c r="IP32" s="13" t="str">
        <f t="shared" si="47"/>
        <v/>
      </c>
      <c r="IQ32" s="13" t="str">
        <f t="shared" si="47"/>
        <v/>
      </c>
      <c r="IR32" s="13" t="str">
        <f t="shared" si="47"/>
        <v/>
      </c>
      <c r="IS32" s="13" t="str">
        <f t="shared" si="47"/>
        <v/>
      </c>
      <c r="IT32" s="13" t="str">
        <f t="shared" si="47"/>
        <v/>
      </c>
      <c r="IU32" s="13" t="str">
        <f t="shared" si="47"/>
        <v/>
      </c>
      <c r="IV32" s="13" t="str">
        <f t="shared" si="47"/>
        <v/>
      </c>
      <c r="IW32" s="13" t="str">
        <f t="shared" si="47"/>
        <v/>
      </c>
      <c r="IX32" s="13" t="str">
        <f t="shared" si="47"/>
        <v/>
      </c>
      <c r="IY32" s="13" t="str">
        <f t="shared" si="47"/>
        <v/>
      </c>
      <c r="IZ32" s="13" t="str">
        <f t="shared" si="47"/>
        <v/>
      </c>
      <c r="JA32" s="13" t="str">
        <f t="shared" si="47"/>
        <v/>
      </c>
      <c r="JB32" s="13" t="str">
        <f t="shared" si="47"/>
        <v/>
      </c>
      <c r="JC32" s="13" t="str">
        <f t="shared" si="47"/>
        <v/>
      </c>
      <c r="JD32" s="13" t="str">
        <f t="shared" si="47"/>
        <v/>
      </c>
      <c r="JE32" s="13" t="str">
        <f t="shared" si="47"/>
        <v/>
      </c>
      <c r="JF32" s="13" t="str">
        <f t="shared" si="47"/>
        <v/>
      </c>
      <c r="JG32" s="13" t="str">
        <f t="shared" si="47"/>
        <v/>
      </c>
      <c r="JH32" s="13" t="str">
        <f t="shared" si="47"/>
        <v/>
      </c>
      <c r="JI32" s="13" t="str">
        <f t="shared" si="47"/>
        <v/>
      </c>
      <c r="JJ32" s="13" t="str">
        <f t="shared" si="47"/>
        <v/>
      </c>
      <c r="JK32" s="13" t="str">
        <f t="shared" si="47"/>
        <v/>
      </c>
      <c r="JL32" s="13" t="str">
        <f t="shared" si="47"/>
        <v/>
      </c>
      <c r="JM32" s="13" t="str">
        <f t="shared" si="47"/>
        <v/>
      </c>
      <c r="JN32" s="13" t="str">
        <f t="shared" si="47"/>
        <v/>
      </c>
      <c r="JO32" s="13" t="str">
        <f t="shared" si="47"/>
        <v/>
      </c>
      <c r="JP32" s="13" t="str">
        <f t="shared" si="47"/>
        <v/>
      </c>
      <c r="JQ32" s="13" t="str">
        <f t="shared" si="47"/>
        <v/>
      </c>
      <c r="JR32" s="13" t="str">
        <f t="shared" si="47"/>
        <v/>
      </c>
      <c r="JS32" s="13" t="str">
        <f t="shared" si="47"/>
        <v/>
      </c>
      <c r="JT32" s="13" t="str">
        <f t="shared" si="47"/>
        <v/>
      </c>
      <c r="JU32" s="13" t="str">
        <f t="shared" si="47"/>
        <v/>
      </c>
      <c r="JV32" s="13" t="str">
        <f t="shared" si="47"/>
        <v/>
      </c>
      <c r="JW32" s="13" t="str">
        <f t="shared" si="47"/>
        <v/>
      </c>
      <c r="JX32" s="13" t="str">
        <f t="shared" si="47"/>
        <v/>
      </c>
      <c r="JY32" s="13" t="str">
        <f t="shared" si="47"/>
        <v/>
      </c>
      <c r="JZ32" s="13" t="str">
        <f t="shared" si="47"/>
        <v/>
      </c>
      <c r="KA32" s="13" t="str">
        <f t="shared" si="47"/>
        <v/>
      </c>
      <c r="KB32" s="13" t="str">
        <f t="shared" si="47"/>
        <v/>
      </c>
      <c r="KC32" s="13" t="str">
        <f t="shared" si="47"/>
        <v/>
      </c>
      <c r="KD32" s="13" t="str">
        <f t="shared" si="47"/>
        <v/>
      </c>
      <c r="KE32" s="13" t="str">
        <f t="shared" si="47"/>
        <v/>
      </c>
      <c r="KF32" s="13" t="str">
        <f t="shared" si="47"/>
        <v/>
      </c>
      <c r="KG32" s="13" t="str">
        <f t="shared" si="47"/>
        <v/>
      </c>
      <c r="KH32" s="13" t="str">
        <f t="shared" si="47"/>
        <v/>
      </c>
      <c r="KI32" s="13" t="str">
        <f t="shared" si="47"/>
        <v/>
      </c>
      <c r="KJ32" s="13" t="str">
        <f t="shared" si="47"/>
        <v/>
      </c>
      <c r="KK32" s="13" t="str">
        <f t="shared" si="47"/>
        <v/>
      </c>
      <c r="KL32" s="13" t="str">
        <f t="shared" si="47"/>
        <v/>
      </c>
      <c r="KM32" s="13" t="str">
        <f t="shared" si="47"/>
        <v/>
      </c>
      <c r="KN32" s="13" t="str">
        <f t="shared" si="47"/>
        <v/>
      </c>
      <c r="KO32" s="13" t="str">
        <f t="shared" si="47"/>
        <v/>
      </c>
      <c r="KP32" s="13" t="str">
        <f t="shared" si="47"/>
        <v/>
      </c>
      <c r="KQ32" s="13" t="str">
        <f t="shared" si="47"/>
        <v/>
      </c>
      <c r="KR32" s="13" t="str">
        <f t="shared" si="47"/>
        <v/>
      </c>
      <c r="KS32" s="13" t="str">
        <f t="shared" si="44"/>
        <v/>
      </c>
      <c r="KT32" s="13" t="str">
        <f t="shared" si="48"/>
        <v/>
      </c>
      <c r="KU32" s="13" t="str">
        <f t="shared" si="48"/>
        <v/>
      </c>
      <c r="KV32" s="13" t="str">
        <f t="shared" si="48"/>
        <v/>
      </c>
      <c r="KW32" s="13" t="str">
        <f t="shared" si="48"/>
        <v/>
      </c>
      <c r="KX32" s="13" t="str">
        <f t="shared" si="48"/>
        <v/>
      </c>
      <c r="KY32" s="13" t="str">
        <f t="shared" si="48"/>
        <v/>
      </c>
      <c r="KZ32" s="13" t="str">
        <f t="shared" si="48"/>
        <v/>
      </c>
      <c r="LA32" s="13" t="str">
        <f t="shared" si="48"/>
        <v/>
      </c>
      <c r="LB32" s="13" t="str">
        <f t="shared" si="48"/>
        <v/>
      </c>
      <c r="LC32" s="13" t="str">
        <f t="shared" si="48"/>
        <v/>
      </c>
      <c r="LD32" s="13" t="str">
        <f t="shared" si="48"/>
        <v/>
      </c>
      <c r="LE32" s="13" t="str">
        <f t="shared" si="48"/>
        <v/>
      </c>
      <c r="LF32" s="13" t="str">
        <f t="shared" si="48"/>
        <v/>
      </c>
      <c r="LG32" s="13" t="str">
        <f t="shared" si="48"/>
        <v/>
      </c>
      <c r="LH32" s="13" t="str">
        <f t="shared" si="48"/>
        <v/>
      </c>
      <c r="LI32" s="13" t="str">
        <f t="shared" si="48"/>
        <v/>
      </c>
      <c r="LJ32" s="13" t="str">
        <f t="shared" si="48"/>
        <v/>
      </c>
      <c r="LK32" s="13" t="str">
        <f t="shared" si="48"/>
        <v/>
      </c>
      <c r="LL32" s="13" t="str">
        <f t="shared" si="48"/>
        <v/>
      </c>
      <c r="LM32" s="13" t="str">
        <f t="shared" si="48"/>
        <v/>
      </c>
      <c r="LN32" s="13" t="str">
        <f t="shared" si="48"/>
        <v/>
      </c>
      <c r="LO32" s="13" t="str">
        <f t="shared" si="48"/>
        <v/>
      </c>
      <c r="LP32" s="13" t="str">
        <f t="shared" si="48"/>
        <v/>
      </c>
      <c r="LQ32" s="13" t="str">
        <f t="shared" si="48"/>
        <v/>
      </c>
      <c r="LR32" s="13" t="str">
        <f t="shared" si="48"/>
        <v/>
      </c>
      <c r="LS32" s="13" t="str">
        <f t="shared" si="48"/>
        <v/>
      </c>
      <c r="LT32" s="13" t="str">
        <f t="shared" si="48"/>
        <v/>
      </c>
      <c r="LU32" s="13" t="str">
        <f t="shared" si="48"/>
        <v/>
      </c>
      <c r="LV32" s="13" t="str">
        <f t="shared" si="48"/>
        <v/>
      </c>
      <c r="LW32" s="13" t="str">
        <f t="shared" si="48"/>
        <v/>
      </c>
      <c r="LX32" s="13" t="str">
        <f t="shared" si="48"/>
        <v/>
      </c>
      <c r="LY32" s="13" t="str">
        <f t="shared" si="48"/>
        <v/>
      </c>
      <c r="LZ32" s="13" t="str">
        <f t="shared" si="48"/>
        <v/>
      </c>
      <c r="MA32" s="13" t="str">
        <f t="shared" si="48"/>
        <v/>
      </c>
      <c r="MB32" s="13" t="str">
        <f t="shared" si="48"/>
        <v/>
      </c>
      <c r="MC32" s="13" t="str">
        <f t="shared" si="48"/>
        <v/>
      </c>
      <c r="MD32" s="13" t="str">
        <f t="shared" si="48"/>
        <v/>
      </c>
      <c r="ME32" s="13" t="str">
        <f t="shared" si="48"/>
        <v/>
      </c>
      <c r="MF32" s="13" t="str">
        <f t="shared" si="48"/>
        <v/>
      </c>
      <c r="MG32" s="13" t="str">
        <f t="shared" si="48"/>
        <v/>
      </c>
    </row>
    <row r="33" spans="1:345" x14ac:dyDescent="0.2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V33" s="8" t="str">
        <f t="shared" si="19"/>
        <v/>
      </c>
      <c r="W33" s="38" t="e">
        <f t="shared" si="7"/>
        <v>#N/A</v>
      </c>
      <c r="X33" s="38" t="e">
        <f t="shared" si="8"/>
        <v>#N/A</v>
      </c>
      <c r="Y33" s="45" t="str">
        <f t="shared" si="9"/>
        <v/>
      </c>
      <c r="Z33" s="40" t="str">
        <f t="shared" si="10"/>
        <v/>
      </c>
      <c r="AA33" s="49" t="e">
        <f t="shared" si="11"/>
        <v>#N/A</v>
      </c>
      <c r="AB33" s="40" t="str">
        <f t="shared" si="12"/>
        <v/>
      </c>
      <c r="AC33" s="49" t="e">
        <f t="shared" si="13"/>
        <v>#N/A</v>
      </c>
      <c r="AE33" s="9" t="str">
        <f t="shared" si="20"/>
        <v/>
      </c>
      <c r="AF33" s="9" t="str">
        <f t="shared" si="21"/>
        <v/>
      </c>
      <c r="AG33" s="9" t="str">
        <f t="shared" si="22"/>
        <v/>
      </c>
      <c r="AH33" s="9" t="str">
        <f t="shared" si="23"/>
        <v/>
      </c>
      <c r="AI33" s="9" t="str">
        <f t="shared" si="24"/>
        <v/>
      </c>
      <c r="AJ33" s="9" t="str">
        <f t="shared" si="25"/>
        <v/>
      </c>
      <c r="AK33" s="9" t="str">
        <f t="shared" si="26"/>
        <v/>
      </c>
      <c r="AL33" s="9" t="str">
        <f t="shared" si="27"/>
        <v/>
      </c>
      <c r="AM33" s="9" t="str">
        <f t="shared" si="28"/>
        <v/>
      </c>
      <c r="AN33" s="9" t="str">
        <f t="shared" si="29"/>
        <v/>
      </c>
      <c r="AO33" s="10" t="str">
        <f t="shared" si="30"/>
        <v/>
      </c>
      <c r="AP33" s="11">
        <f t="shared" si="31"/>
        <v>0</v>
      </c>
      <c r="AR33" s="13" t="str">
        <f t="shared" si="34"/>
        <v/>
      </c>
      <c r="AS33" s="13" t="str">
        <f t="shared" si="32"/>
        <v/>
      </c>
      <c r="AT33" s="13" t="str">
        <f t="shared" si="33"/>
        <v/>
      </c>
      <c r="AU33" s="13" t="str">
        <f t="shared" si="49"/>
        <v/>
      </c>
      <c r="AV33" s="13" t="str">
        <f t="shared" si="49"/>
        <v/>
      </c>
      <c r="AW33" s="13" t="str">
        <f t="shared" si="49"/>
        <v/>
      </c>
      <c r="AX33" s="13" t="str">
        <f t="shared" si="49"/>
        <v/>
      </c>
      <c r="AY33" s="13" t="str">
        <f t="shared" si="49"/>
        <v/>
      </c>
      <c r="AZ33" s="13" t="str">
        <f t="shared" si="49"/>
        <v/>
      </c>
      <c r="BA33" s="13" t="str">
        <f t="shared" si="49"/>
        <v/>
      </c>
      <c r="BB33" s="13" t="str">
        <f t="shared" si="49"/>
        <v/>
      </c>
      <c r="BC33" s="13" t="str">
        <f t="shared" si="49"/>
        <v/>
      </c>
      <c r="BD33" s="13" t="str">
        <f t="shared" si="49"/>
        <v/>
      </c>
      <c r="BE33" s="13" t="str">
        <f t="shared" si="49"/>
        <v/>
      </c>
      <c r="BF33" s="13" t="str">
        <f t="shared" si="49"/>
        <v/>
      </c>
      <c r="BG33" s="13" t="str">
        <f t="shared" si="49"/>
        <v/>
      </c>
      <c r="BH33" s="13" t="str">
        <f t="shared" si="49"/>
        <v/>
      </c>
      <c r="BI33" s="13" t="str">
        <f t="shared" si="49"/>
        <v/>
      </c>
      <c r="BJ33" s="13" t="str">
        <f t="shared" si="49"/>
        <v/>
      </c>
      <c r="BK33" s="13" t="str">
        <f t="shared" si="49"/>
        <v/>
      </c>
      <c r="BL33" s="13" t="str">
        <f t="shared" si="49"/>
        <v/>
      </c>
      <c r="BM33" s="13" t="str">
        <f t="shared" si="49"/>
        <v/>
      </c>
      <c r="BN33" s="13" t="str">
        <f t="shared" si="49"/>
        <v/>
      </c>
      <c r="BO33" s="13" t="str">
        <f t="shared" si="49"/>
        <v/>
      </c>
      <c r="BP33" s="13" t="str">
        <f t="shared" si="49"/>
        <v/>
      </c>
      <c r="BQ33" s="13" t="str">
        <f t="shared" si="49"/>
        <v/>
      </c>
      <c r="BR33" s="13" t="str">
        <f t="shared" si="49"/>
        <v/>
      </c>
      <c r="BS33" s="13" t="str">
        <f t="shared" si="49"/>
        <v/>
      </c>
      <c r="BT33" s="13" t="str">
        <f t="shared" si="49"/>
        <v/>
      </c>
      <c r="BU33" s="13" t="str">
        <f t="shared" si="49"/>
        <v/>
      </c>
      <c r="BV33" s="13" t="str">
        <f t="shared" si="49"/>
        <v/>
      </c>
      <c r="BW33" s="13" t="str">
        <f t="shared" si="49"/>
        <v/>
      </c>
      <c r="BX33" s="13" t="str">
        <f t="shared" si="49"/>
        <v/>
      </c>
      <c r="BY33" s="13" t="str">
        <f t="shared" si="49"/>
        <v/>
      </c>
      <c r="BZ33" s="13" t="str">
        <f t="shared" si="49"/>
        <v/>
      </c>
      <c r="CA33" s="13" t="str">
        <f t="shared" si="49"/>
        <v/>
      </c>
      <c r="CB33" s="13" t="str">
        <f t="shared" si="49"/>
        <v/>
      </c>
      <c r="CC33" s="13" t="str">
        <f t="shared" si="49"/>
        <v/>
      </c>
      <c r="CD33" s="13" t="str">
        <f t="shared" si="49"/>
        <v/>
      </c>
      <c r="CE33" s="13" t="str">
        <f t="shared" si="49"/>
        <v/>
      </c>
      <c r="CF33" s="13" t="str">
        <f t="shared" si="49"/>
        <v/>
      </c>
      <c r="CG33" s="13" t="str">
        <f t="shared" si="49"/>
        <v/>
      </c>
      <c r="CH33" s="13" t="str">
        <f t="shared" si="49"/>
        <v/>
      </c>
      <c r="CI33" s="13" t="str">
        <f t="shared" si="49"/>
        <v/>
      </c>
      <c r="CJ33" s="13" t="str">
        <f t="shared" si="49"/>
        <v/>
      </c>
      <c r="CK33" s="13" t="str">
        <f t="shared" si="49"/>
        <v/>
      </c>
      <c r="CL33" s="13" t="str">
        <f t="shared" si="49"/>
        <v/>
      </c>
      <c r="CM33" s="13" t="str">
        <f t="shared" si="49"/>
        <v/>
      </c>
      <c r="CN33" s="13" t="str">
        <f t="shared" si="49"/>
        <v/>
      </c>
      <c r="CO33" s="13" t="str">
        <f t="shared" si="49"/>
        <v/>
      </c>
      <c r="CP33" s="13" t="str">
        <f t="shared" si="49"/>
        <v/>
      </c>
      <c r="CQ33" s="13" t="str">
        <f t="shared" si="49"/>
        <v/>
      </c>
      <c r="CR33" s="13" t="str">
        <f t="shared" si="49"/>
        <v/>
      </c>
      <c r="CS33" s="13" t="str">
        <f t="shared" si="49"/>
        <v/>
      </c>
      <c r="CT33" s="13" t="str">
        <f t="shared" si="49"/>
        <v/>
      </c>
      <c r="CU33" s="13" t="str">
        <f t="shared" si="49"/>
        <v/>
      </c>
      <c r="CV33" s="13" t="str">
        <f t="shared" si="49"/>
        <v/>
      </c>
      <c r="CW33" s="13" t="str">
        <f t="shared" si="49"/>
        <v/>
      </c>
      <c r="CX33" s="13" t="str">
        <f t="shared" si="49"/>
        <v/>
      </c>
      <c r="CY33" s="13" t="str">
        <f t="shared" si="49"/>
        <v/>
      </c>
      <c r="CZ33" s="13" t="str">
        <f t="shared" si="49"/>
        <v/>
      </c>
      <c r="DA33" s="13" t="str">
        <f t="shared" si="49"/>
        <v/>
      </c>
      <c r="DB33" s="13" t="str">
        <f t="shared" si="49"/>
        <v/>
      </c>
      <c r="DC33" s="13" t="str">
        <f t="shared" si="49"/>
        <v/>
      </c>
      <c r="DD33" s="13" t="str">
        <f t="shared" si="49"/>
        <v/>
      </c>
      <c r="DE33" s="13" t="str">
        <f t="shared" si="49"/>
        <v/>
      </c>
      <c r="DF33" s="13" t="str">
        <f t="shared" si="49"/>
        <v/>
      </c>
      <c r="DG33" s="13" t="str">
        <f t="shared" si="46"/>
        <v/>
      </c>
      <c r="DH33" s="13" t="str">
        <f t="shared" si="46"/>
        <v/>
      </c>
      <c r="DI33" s="13" t="str">
        <f t="shared" si="46"/>
        <v/>
      </c>
      <c r="DJ33" s="13" t="str">
        <f t="shared" si="46"/>
        <v/>
      </c>
      <c r="DK33" s="13" t="str">
        <f t="shared" si="46"/>
        <v/>
      </c>
      <c r="DL33" s="13" t="str">
        <f t="shared" si="46"/>
        <v/>
      </c>
      <c r="DM33" s="13" t="str">
        <f t="shared" si="46"/>
        <v/>
      </c>
      <c r="DN33" s="13" t="str">
        <f t="shared" si="46"/>
        <v/>
      </c>
      <c r="DO33" s="13" t="str">
        <f t="shared" si="46"/>
        <v/>
      </c>
      <c r="DP33" s="13" t="str">
        <f t="shared" si="46"/>
        <v/>
      </c>
      <c r="DQ33" s="13" t="str">
        <f t="shared" si="46"/>
        <v/>
      </c>
      <c r="DR33" s="13" t="str">
        <f t="shared" si="46"/>
        <v/>
      </c>
      <c r="DS33" s="13" t="str">
        <f t="shared" si="46"/>
        <v/>
      </c>
      <c r="DT33" s="13" t="str">
        <f t="shared" si="46"/>
        <v/>
      </c>
      <c r="DU33" s="13" t="str">
        <f t="shared" si="46"/>
        <v/>
      </c>
      <c r="DV33" s="13" t="str">
        <f t="shared" si="46"/>
        <v/>
      </c>
      <c r="DW33" s="13" t="str">
        <f t="shared" si="46"/>
        <v/>
      </c>
      <c r="DX33" s="13" t="str">
        <f t="shared" si="46"/>
        <v/>
      </c>
      <c r="DY33" s="13" t="str">
        <f t="shared" si="46"/>
        <v/>
      </c>
      <c r="DZ33" s="13" t="str">
        <f t="shared" si="46"/>
        <v/>
      </c>
      <c r="EA33" s="13" t="str">
        <f t="shared" si="46"/>
        <v/>
      </c>
      <c r="EB33" s="13" t="str">
        <f t="shared" si="46"/>
        <v/>
      </c>
      <c r="EC33" s="13" t="str">
        <f t="shared" si="46"/>
        <v/>
      </c>
      <c r="ED33" s="13" t="str">
        <f t="shared" si="46"/>
        <v/>
      </c>
      <c r="EE33" s="13" t="str">
        <f t="shared" si="46"/>
        <v/>
      </c>
      <c r="EF33" s="13" t="str">
        <f t="shared" si="46"/>
        <v/>
      </c>
      <c r="EG33" s="13" t="str">
        <f t="shared" si="46"/>
        <v/>
      </c>
      <c r="EH33" s="13" t="str">
        <f t="shared" si="46"/>
        <v/>
      </c>
      <c r="EI33" s="13" t="str">
        <f t="shared" si="46"/>
        <v/>
      </c>
      <c r="EJ33" s="13" t="str">
        <f t="shared" si="46"/>
        <v/>
      </c>
      <c r="EK33" s="13" t="str">
        <f t="shared" si="46"/>
        <v/>
      </c>
      <c r="EL33" s="13" t="str">
        <f t="shared" si="46"/>
        <v/>
      </c>
      <c r="EM33" s="13" t="str">
        <f t="shared" si="46"/>
        <v/>
      </c>
      <c r="EN33" s="13" t="str">
        <f t="shared" si="46"/>
        <v/>
      </c>
      <c r="EO33" s="13" t="str">
        <f t="shared" si="46"/>
        <v/>
      </c>
      <c r="EP33" s="13" t="str">
        <f t="shared" si="46"/>
        <v/>
      </c>
      <c r="EQ33" s="13" t="str">
        <f t="shared" si="46"/>
        <v/>
      </c>
      <c r="ER33" s="13" t="str">
        <f t="shared" si="46"/>
        <v/>
      </c>
      <c r="ES33" s="13" t="str">
        <f t="shared" si="46"/>
        <v/>
      </c>
      <c r="ET33" s="13" t="str">
        <f t="shared" si="46"/>
        <v/>
      </c>
      <c r="EU33" s="13" t="str">
        <f t="shared" si="46"/>
        <v/>
      </c>
      <c r="EV33" s="13" t="str">
        <f t="shared" si="46"/>
        <v/>
      </c>
      <c r="EW33" s="13" t="str">
        <f t="shared" si="46"/>
        <v/>
      </c>
      <c r="EX33" s="13" t="str">
        <f t="shared" si="46"/>
        <v/>
      </c>
      <c r="EY33" s="13" t="str">
        <f t="shared" si="46"/>
        <v/>
      </c>
      <c r="EZ33" s="13" t="str">
        <f t="shared" si="46"/>
        <v/>
      </c>
      <c r="FA33" s="13" t="str">
        <f t="shared" si="46"/>
        <v/>
      </c>
      <c r="FB33" s="13" t="str">
        <f t="shared" si="46"/>
        <v/>
      </c>
      <c r="FC33" s="13" t="str">
        <f t="shared" si="46"/>
        <v/>
      </c>
      <c r="FD33" s="13" t="str">
        <f t="shared" si="46"/>
        <v/>
      </c>
      <c r="FE33" s="13" t="str">
        <f t="shared" si="46"/>
        <v/>
      </c>
      <c r="FF33" s="13" t="str">
        <f t="shared" si="46"/>
        <v/>
      </c>
      <c r="FG33" s="13" t="str">
        <f t="shared" si="46"/>
        <v/>
      </c>
      <c r="FH33" s="13" t="str">
        <f t="shared" si="46"/>
        <v/>
      </c>
      <c r="FI33" s="13" t="str">
        <f t="shared" si="46"/>
        <v/>
      </c>
      <c r="FJ33" s="13" t="str">
        <f t="shared" si="46"/>
        <v/>
      </c>
      <c r="FK33" s="13" t="str">
        <f t="shared" si="46"/>
        <v/>
      </c>
      <c r="FL33" s="13" t="str">
        <f t="shared" si="46"/>
        <v/>
      </c>
      <c r="FM33" s="13" t="str">
        <f t="shared" si="46"/>
        <v/>
      </c>
      <c r="FN33" s="13" t="str">
        <f t="shared" si="46"/>
        <v/>
      </c>
      <c r="FO33" s="13" t="str">
        <f t="shared" si="46"/>
        <v/>
      </c>
      <c r="FP33" s="13" t="str">
        <f t="shared" si="46"/>
        <v/>
      </c>
      <c r="FQ33" s="13" t="str">
        <f t="shared" si="46"/>
        <v/>
      </c>
      <c r="FR33" s="13" t="str">
        <f t="shared" si="38"/>
        <v/>
      </c>
      <c r="FS33" s="13" t="str">
        <f t="shared" si="43"/>
        <v/>
      </c>
      <c r="FT33" s="13" t="str">
        <f t="shared" si="43"/>
        <v/>
      </c>
      <c r="FU33" s="13" t="str">
        <f t="shared" si="43"/>
        <v/>
      </c>
      <c r="FV33" s="13" t="str">
        <f t="shared" si="43"/>
        <v/>
      </c>
      <c r="FW33" s="13" t="str">
        <f t="shared" si="43"/>
        <v/>
      </c>
      <c r="FX33" s="13" t="str">
        <f t="shared" si="43"/>
        <v/>
      </c>
      <c r="FY33" s="13" t="str">
        <f t="shared" si="43"/>
        <v/>
      </c>
      <c r="FZ33" s="13" t="str">
        <f t="shared" si="43"/>
        <v/>
      </c>
      <c r="GA33" s="13" t="str">
        <f t="shared" si="43"/>
        <v/>
      </c>
      <c r="GB33" s="13" t="str">
        <f t="shared" si="43"/>
        <v/>
      </c>
      <c r="GC33" s="13" t="str">
        <f t="shared" si="43"/>
        <v/>
      </c>
      <c r="GD33" s="13" t="str">
        <f t="shared" si="43"/>
        <v/>
      </c>
      <c r="GE33" s="13" t="str">
        <f t="shared" si="43"/>
        <v/>
      </c>
      <c r="GF33" s="13" t="str">
        <f t="shared" si="43"/>
        <v/>
      </c>
      <c r="GG33" s="13" t="str">
        <f t="shared" si="43"/>
        <v/>
      </c>
      <c r="GH33" s="13" t="str">
        <f t="shared" si="43"/>
        <v/>
      </c>
      <c r="GI33" s="13" t="str">
        <f t="shared" si="43"/>
        <v/>
      </c>
      <c r="GJ33" s="13" t="str">
        <f t="shared" si="43"/>
        <v/>
      </c>
      <c r="GK33" s="13" t="str">
        <f t="shared" si="43"/>
        <v/>
      </c>
      <c r="GL33" s="13" t="str">
        <f t="shared" si="43"/>
        <v/>
      </c>
      <c r="GM33" s="13" t="str">
        <f t="shared" si="43"/>
        <v/>
      </c>
      <c r="GN33" s="13" t="str">
        <f t="shared" si="43"/>
        <v/>
      </c>
      <c r="GO33" s="13" t="str">
        <f t="shared" si="43"/>
        <v/>
      </c>
      <c r="GP33" s="13" t="str">
        <f t="shared" si="43"/>
        <v/>
      </c>
      <c r="GQ33" s="13" t="str">
        <f t="shared" si="43"/>
        <v/>
      </c>
      <c r="GR33" s="13" t="str">
        <f t="shared" si="43"/>
        <v/>
      </c>
      <c r="GS33" s="13" t="str">
        <f t="shared" si="43"/>
        <v/>
      </c>
      <c r="GT33" s="13" t="str">
        <f t="shared" si="43"/>
        <v/>
      </c>
      <c r="GU33" s="13" t="str">
        <f t="shared" si="43"/>
        <v/>
      </c>
      <c r="GV33" s="13" t="str">
        <f t="shared" si="43"/>
        <v/>
      </c>
      <c r="GW33" s="13" t="str">
        <f t="shared" si="43"/>
        <v/>
      </c>
      <c r="GX33" s="13" t="str">
        <f t="shared" si="43"/>
        <v/>
      </c>
      <c r="GY33" s="13" t="str">
        <f t="shared" si="43"/>
        <v/>
      </c>
      <c r="GZ33" s="13" t="str">
        <f t="shared" si="43"/>
        <v/>
      </c>
      <c r="HA33" s="13" t="str">
        <f t="shared" si="43"/>
        <v/>
      </c>
      <c r="HB33" s="13" t="str">
        <f t="shared" si="43"/>
        <v/>
      </c>
      <c r="HC33" s="13" t="str">
        <f t="shared" si="43"/>
        <v/>
      </c>
      <c r="HD33" s="13" t="str">
        <f t="shared" si="43"/>
        <v/>
      </c>
      <c r="HE33" s="13" t="str">
        <f t="shared" si="43"/>
        <v/>
      </c>
      <c r="HF33" s="13" t="str">
        <f t="shared" si="43"/>
        <v/>
      </c>
      <c r="HG33" s="13" t="str">
        <f t="shared" si="43"/>
        <v/>
      </c>
      <c r="HH33" s="13" t="str">
        <f t="shared" si="43"/>
        <v/>
      </c>
      <c r="HI33" s="13" t="str">
        <f t="shared" si="43"/>
        <v/>
      </c>
      <c r="HJ33" s="13" t="str">
        <f t="shared" si="43"/>
        <v/>
      </c>
      <c r="HK33" s="13" t="str">
        <f t="shared" si="43"/>
        <v/>
      </c>
      <c r="HL33" s="13" t="str">
        <f t="shared" si="43"/>
        <v/>
      </c>
      <c r="HM33" s="13" t="str">
        <f t="shared" si="43"/>
        <v/>
      </c>
      <c r="HN33" s="13" t="str">
        <f t="shared" si="43"/>
        <v/>
      </c>
      <c r="HO33" s="13" t="str">
        <f t="shared" si="43"/>
        <v/>
      </c>
      <c r="HP33" s="13" t="str">
        <f t="shared" si="43"/>
        <v/>
      </c>
      <c r="HQ33" s="13" t="str">
        <f t="shared" si="43"/>
        <v/>
      </c>
      <c r="HR33" s="13" t="str">
        <f t="shared" si="43"/>
        <v/>
      </c>
      <c r="HS33" s="13" t="str">
        <f t="shared" si="43"/>
        <v/>
      </c>
      <c r="HT33" s="13" t="str">
        <f t="shared" si="43"/>
        <v/>
      </c>
      <c r="HU33" s="13" t="str">
        <f t="shared" si="43"/>
        <v/>
      </c>
      <c r="HV33" s="13" t="str">
        <f t="shared" si="43"/>
        <v/>
      </c>
      <c r="HW33" s="13" t="str">
        <f t="shared" si="43"/>
        <v/>
      </c>
      <c r="HX33" s="13" t="str">
        <f t="shared" si="43"/>
        <v/>
      </c>
      <c r="HY33" s="13" t="str">
        <f t="shared" si="43"/>
        <v/>
      </c>
      <c r="HZ33" s="13" t="str">
        <f t="shared" si="43"/>
        <v/>
      </c>
      <c r="IA33" s="13" t="str">
        <f t="shared" si="43"/>
        <v/>
      </c>
      <c r="IB33" s="13" t="str">
        <f t="shared" si="43"/>
        <v/>
      </c>
      <c r="IC33" s="13" t="str">
        <f t="shared" si="43"/>
        <v/>
      </c>
      <c r="ID33" s="13" t="str">
        <f t="shared" ref="ID33:KO36" si="50">IF(ID62&gt;0,TEXT(ID$50,"R"&amp;0)&amp;", ","")</f>
        <v/>
      </c>
      <c r="IE33" s="13" t="str">
        <f t="shared" si="50"/>
        <v/>
      </c>
      <c r="IF33" s="13" t="str">
        <f t="shared" si="50"/>
        <v/>
      </c>
      <c r="IG33" s="13" t="str">
        <f t="shared" si="50"/>
        <v/>
      </c>
      <c r="IH33" s="13" t="str">
        <f t="shared" si="50"/>
        <v/>
      </c>
      <c r="II33" s="13" t="str">
        <f t="shared" si="50"/>
        <v/>
      </c>
      <c r="IJ33" s="13" t="str">
        <f t="shared" si="50"/>
        <v/>
      </c>
      <c r="IK33" s="13" t="str">
        <f t="shared" si="50"/>
        <v/>
      </c>
      <c r="IL33" s="13" t="str">
        <f t="shared" si="50"/>
        <v/>
      </c>
      <c r="IM33" s="13" t="str">
        <f t="shared" si="50"/>
        <v/>
      </c>
      <c r="IN33" s="13" t="str">
        <f t="shared" si="50"/>
        <v/>
      </c>
      <c r="IO33" s="13" t="str">
        <f t="shared" si="50"/>
        <v/>
      </c>
      <c r="IP33" s="13" t="str">
        <f t="shared" si="50"/>
        <v/>
      </c>
      <c r="IQ33" s="13" t="str">
        <f t="shared" si="50"/>
        <v/>
      </c>
      <c r="IR33" s="13" t="str">
        <f t="shared" si="50"/>
        <v/>
      </c>
      <c r="IS33" s="13" t="str">
        <f t="shared" si="50"/>
        <v/>
      </c>
      <c r="IT33" s="13" t="str">
        <f t="shared" si="50"/>
        <v/>
      </c>
      <c r="IU33" s="13" t="str">
        <f t="shared" si="50"/>
        <v/>
      </c>
      <c r="IV33" s="13" t="str">
        <f t="shared" si="50"/>
        <v/>
      </c>
      <c r="IW33" s="13" t="str">
        <f t="shared" si="50"/>
        <v/>
      </c>
      <c r="IX33" s="13" t="str">
        <f t="shared" si="50"/>
        <v/>
      </c>
      <c r="IY33" s="13" t="str">
        <f t="shared" si="50"/>
        <v/>
      </c>
      <c r="IZ33" s="13" t="str">
        <f t="shared" si="50"/>
        <v/>
      </c>
      <c r="JA33" s="13" t="str">
        <f t="shared" si="50"/>
        <v/>
      </c>
      <c r="JB33" s="13" t="str">
        <f t="shared" si="50"/>
        <v/>
      </c>
      <c r="JC33" s="13" t="str">
        <f t="shared" si="50"/>
        <v/>
      </c>
      <c r="JD33" s="13" t="str">
        <f t="shared" si="50"/>
        <v/>
      </c>
      <c r="JE33" s="13" t="str">
        <f t="shared" si="50"/>
        <v/>
      </c>
      <c r="JF33" s="13" t="str">
        <f t="shared" si="50"/>
        <v/>
      </c>
      <c r="JG33" s="13" t="str">
        <f t="shared" si="50"/>
        <v/>
      </c>
      <c r="JH33" s="13" t="str">
        <f t="shared" si="50"/>
        <v/>
      </c>
      <c r="JI33" s="13" t="str">
        <f t="shared" si="50"/>
        <v/>
      </c>
      <c r="JJ33" s="13" t="str">
        <f t="shared" si="50"/>
        <v/>
      </c>
      <c r="JK33" s="13" t="str">
        <f t="shared" si="50"/>
        <v/>
      </c>
      <c r="JL33" s="13" t="str">
        <f t="shared" si="50"/>
        <v/>
      </c>
      <c r="JM33" s="13" t="str">
        <f t="shared" si="50"/>
        <v/>
      </c>
      <c r="JN33" s="13" t="str">
        <f t="shared" si="50"/>
        <v/>
      </c>
      <c r="JO33" s="13" t="str">
        <f t="shared" si="50"/>
        <v/>
      </c>
      <c r="JP33" s="13" t="str">
        <f t="shared" si="50"/>
        <v/>
      </c>
      <c r="JQ33" s="13" t="str">
        <f t="shared" si="50"/>
        <v/>
      </c>
      <c r="JR33" s="13" t="str">
        <f t="shared" si="50"/>
        <v/>
      </c>
      <c r="JS33" s="13" t="str">
        <f t="shared" si="50"/>
        <v/>
      </c>
      <c r="JT33" s="13" t="str">
        <f t="shared" si="50"/>
        <v/>
      </c>
      <c r="JU33" s="13" t="str">
        <f t="shared" si="50"/>
        <v/>
      </c>
      <c r="JV33" s="13" t="str">
        <f t="shared" si="50"/>
        <v/>
      </c>
      <c r="JW33" s="13" t="str">
        <f t="shared" si="50"/>
        <v/>
      </c>
      <c r="JX33" s="13" t="str">
        <f t="shared" si="50"/>
        <v/>
      </c>
      <c r="JY33" s="13" t="str">
        <f t="shared" si="50"/>
        <v/>
      </c>
      <c r="JZ33" s="13" t="str">
        <f t="shared" si="50"/>
        <v/>
      </c>
      <c r="KA33" s="13" t="str">
        <f t="shared" si="50"/>
        <v/>
      </c>
      <c r="KB33" s="13" t="str">
        <f t="shared" si="50"/>
        <v/>
      </c>
      <c r="KC33" s="13" t="str">
        <f t="shared" si="50"/>
        <v/>
      </c>
      <c r="KD33" s="13" t="str">
        <f t="shared" si="50"/>
        <v/>
      </c>
      <c r="KE33" s="13" t="str">
        <f t="shared" si="50"/>
        <v/>
      </c>
      <c r="KF33" s="13" t="str">
        <f t="shared" si="50"/>
        <v/>
      </c>
      <c r="KG33" s="13" t="str">
        <f t="shared" si="50"/>
        <v/>
      </c>
      <c r="KH33" s="13" t="str">
        <f t="shared" si="50"/>
        <v/>
      </c>
      <c r="KI33" s="13" t="str">
        <f t="shared" si="50"/>
        <v/>
      </c>
      <c r="KJ33" s="13" t="str">
        <f t="shared" si="50"/>
        <v/>
      </c>
      <c r="KK33" s="13" t="str">
        <f t="shared" si="50"/>
        <v/>
      </c>
      <c r="KL33" s="13" t="str">
        <f t="shared" si="50"/>
        <v/>
      </c>
      <c r="KM33" s="13" t="str">
        <f t="shared" si="50"/>
        <v/>
      </c>
      <c r="KN33" s="13" t="str">
        <f t="shared" si="50"/>
        <v/>
      </c>
      <c r="KO33" s="13" t="str">
        <f t="shared" si="50"/>
        <v/>
      </c>
      <c r="KP33" s="13" t="str">
        <f t="shared" si="47"/>
        <v/>
      </c>
      <c r="KQ33" s="13" t="str">
        <f t="shared" si="47"/>
        <v/>
      </c>
      <c r="KR33" s="13" t="str">
        <f t="shared" si="47"/>
        <v/>
      </c>
      <c r="KS33" s="13" t="str">
        <f t="shared" si="44"/>
        <v/>
      </c>
      <c r="KT33" s="13" t="str">
        <f t="shared" si="48"/>
        <v/>
      </c>
      <c r="KU33" s="13" t="str">
        <f t="shared" si="48"/>
        <v/>
      </c>
      <c r="KV33" s="13" t="str">
        <f t="shared" si="48"/>
        <v/>
      </c>
      <c r="KW33" s="13" t="str">
        <f t="shared" si="48"/>
        <v/>
      </c>
      <c r="KX33" s="13" t="str">
        <f t="shared" si="48"/>
        <v/>
      </c>
      <c r="KY33" s="13" t="str">
        <f t="shared" si="48"/>
        <v/>
      </c>
      <c r="KZ33" s="13" t="str">
        <f t="shared" si="48"/>
        <v/>
      </c>
      <c r="LA33" s="13" t="str">
        <f t="shared" si="48"/>
        <v/>
      </c>
      <c r="LB33" s="13" t="str">
        <f t="shared" si="48"/>
        <v/>
      </c>
      <c r="LC33" s="13" t="str">
        <f t="shared" si="48"/>
        <v/>
      </c>
      <c r="LD33" s="13" t="str">
        <f t="shared" si="48"/>
        <v/>
      </c>
      <c r="LE33" s="13" t="str">
        <f t="shared" si="48"/>
        <v/>
      </c>
      <c r="LF33" s="13" t="str">
        <f t="shared" si="48"/>
        <v/>
      </c>
      <c r="LG33" s="13" t="str">
        <f t="shared" si="48"/>
        <v/>
      </c>
      <c r="LH33" s="13" t="str">
        <f t="shared" si="48"/>
        <v/>
      </c>
      <c r="LI33" s="13" t="str">
        <f t="shared" si="48"/>
        <v/>
      </c>
      <c r="LJ33" s="13" t="str">
        <f t="shared" si="48"/>
        <v/>
      </c>
      <c r="LK33" s="13" t="str">
        <f t="shared" si="48"/>
        <v/>
      </c>
      <c r="LL33" s="13" t="str">
        <f t="shared" si="48"/>
        <v/>
      </c>
      <c r="LM33" s="13" t="str">
        <f t="shared" si="48"/>
        <v/>
      </c>
      <c r="LN33" s="13" t="str">
        <f t="shared" si="48"/>
        <v/>
      </c>
      <c r="LO33" s="13" t="str">
        <f t="shared" si="48"/>
        <v/>
      </c>
      <c r="LP33" s="13" t="str">
        <f t="shared" si="48"/>
        <v/>
      </c>
      <c r="LQ33" s="13" t="str">
        <f t="shared" si="48"/>
        <v/>
      </c>
      <c r="LR33" s="13" t="str">
        <f t="shared" si="48"/>
        <v/>
      </c>
      <c r="LS33" s="13" t="str">
        <f t="shared" si="48"/>
        <v/>
      </c>
      <c r="LT33" s="13" t="str">
        <f t="shared" si="48"/>
        <v/>
      </c>
      <c r="LU33" s="13" t="str">
        <f t="shared" si="48"/>
        <v/>
      </c>
      <c r="LV33" s="13" t="str">
        <f t="shared" si="48"/>
        <v/>
      </c>
      <c r="LW33" s="13" t="str">
        <f t="shared" si="48"/>
        <v/>
      </c>
      <c r="LX33" s="13" t="str">
        <f t="shared" si="48"/>
        <v/>
      </c>
      <c r="LY33" s="13" t="str">
        <f t="shared" si="48"/>
        <v/>
      </c>
      <c r="LZ33" s="13" t="str">
        <f t="shared" si="48"/>
        <v/>
      </c>
      <c r="MA33" s="13" t="str">
        <f t="shared" si="48"/>
        <v/>
      </c>
      <c r="MB33" s="13" t="str">
        <f t="shared" si="48"/>
        <v/>
      </c>
      <c r="MC33" s="13" t="str">
        <f t="shared" si="48"/>
        <v/>
      </c>
      <c r="MD33" s="13" t="str">
        <f t="shared" si="48"/>
        <v/>
      </c>
      <c r="ME33" s="13" t="str">
        <f t="shared" si="48"/>
        <v/>
      </c>
      <c r="MF33" s="13" t="str">
        <f t="shared" si="48"/>
        <v/>
      </c>
      <c r="MG33" s="13" t="str">
        <f t="shared" si="48"/>
        <v/>
      </c>
    </row>
    <row r="34" spans="1:345" x14ac:dyDescent="0.2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V34" s="8" t="str">
        <f t="shared" si="19"/>
        <v/>
      </c>
      <c r="W34" s="38" t="e">
        <f t="shared" si="7"/>
        <v>#N/A</v>
      </c>
      <c r="X34" s="38" t="e">
        <f t="shared" si="8"/>
        <v>#N/A</v>
      </c>
      <c r="Y34" s="45" t="str">
        <f t="shared" si="9"/>
        <v/>
      </c>
      <c r="Z34" s="40" t="str">
        <f t="shared" si="10"/>
        <v/>
      </c>
      <c r="AA34" s="49" t="e">
        <f t="shared" si="11"/>
        <v>#N/A</v>
      </c>
      <c r="AB34" s="40" t="str">
        <f t="shared" si="12"/>
        <v/>
      </c>
      <c r="AC34" s="49" t="e">
        <f t="shared" si="13"/>
        <v>#N/A</v>
      </c>
      <c r="AE34" s="9" t="str">
        <f t="shared" si="20"/>
        <v/>
      </c>
      <c r="AF34" s="9" t="str">
        <f t="shared" si="21"/>
        <v/>
      </c>
      <c r="AG34" s="9" t="str">
        <f t="shared" si="22"/>
        <v/>
      </c>
      <c r="AH34" s="9" t="str">
        <f t="shared" si="23"/>
        <v/>
      </c>
      <c r="AI34" s="9" t="str">
        <f t="shared" si="24"/>
        <v/>
      </c>
      <c r="AJ34" s="9" t="str">
        <f t="shared" si="25"/>
        <v/>
      </c>
      <c r="AK34" s="9" t="str">
        <f t="shared" si="26"/>
        <v/>
      </c>
      <c r="AL34" s="9" t="str">
        <f t="shared" si="27"/>
        <v/>
      </c>
      <c r="AM34" s="9" t="str">
        <f t="shared" si="28"/>
        <v/>
      </c>
      <c r="AN34" s="9" t="str">
        <f t="shared" si="29"/>
        <v/>
      </c>
      <c r="AO34" s="10" t="str">
        <f t="shared" si="30"/>
        <v/>
      </c>
      <c r="AP34" s="11">
        <f t="shared" si="31"/>
        <v>0</v>
      </c>
      <c r="AR34" s="13" t="str">
        <f t="shared" si="34"/>
        <v/>
      </c>
      <c r="AS34" s="13" t="str">
        <f t="shared" si="32"/>
        <v/>
      </c>
      <c r="AT34" s="13" t="str">
        <f t="shared" si="33"/>
        <v/>
      </c>
      <c r="AU34" s="13" t="str">
        <f t="shared" si="49"/>
        <v/>
      </c>
      <c r="AV34" s="13" t="str">
        <f t="shared" si="49"/>
        <v/>
      </c>
      <c r="AW34" s="13" t="str">
        <f t="shared" si="49"/>
        <v/>
      </c>
      <c r="AX34" s="13" t="str">
        <f t="shared" si="49"/>
        <v/>
      </c>
      <c r="AY34" s="13" t="str">
        <f t="shared" si="49"/>
        <v/>
      </c>
      <c r="AZ34" s="13" t="str">
        <f t="shared" si="49"/>
        <v/>
      </c>
      <c r="BA34" s="13" t="str">
        <f t="shared" si="49"/>
        <v/>
      </c>
      <c r="BB34" s="13" t="str">
        <f t="shared" si="49"/>
        <v/>
      </c>
      <c r="BC34" s="13" t="str">
        <f t="shared" si="49"/>
        <v/>
      </c>
      <c r="BD34" s="13" t="str">
        <f t="shared" si="49"/>
        <v/>
      </c>
      <c r="BE34" s="13" t="str">
        <f t="shared" si="49"/>
        <v/>
      </c>
      <c r="BF34" s="13" t="str">
        <f t="shared" si="49"/>
        <v/>
      </c>
      <c r="BG34" s="13" t="str">
        <f t="shared" si="49"/>
        <v/>
      </c>
      <c r="BH34" s="13" t="str">
        <f t="shared" si="49"/>
        <v/>
      </c>
      <c r="BI34" s="13" t="str">
        <f t="shared" si="49"/>
        <v/>
      </c>
      <c r="BJ34" s="13" t="str">
        <f t="shared" si="49"/>
        <v/>
      </c>
      <c r="BK34" s="13" t="str">
        <f t="shared" si="49"/>
        <v/>
      </c>
      <c r="BL34" s="13" t="str">
        <f t="shared" si="49"/>
        <v/>
      </c>
      <c r="BM34" s="13" t="str">
        <f t="shared" si="49"/>
        <v/>
      </c>
      <c r="BN34" s="13" t="str">
        <f t="shared" si="49"/>
        <v/>
      </c>
      <c r="BO34" s="13" t="str">
        <f t="shared" si="49"/>
        <v/>
      </c>
      <c r="BP34" s="13" t="str">
        <f t="shared" si="49"/>
        <v/>
      </c>
      <c r="BQ34" s="13" t="str">
        <f t="shared" si="49"/>
        <v/>
      </c>
      <c r="BR34" s="13" t="str">
        <f t="shared" si="49"/>
        <v/>
      </c>
      <c r="BS34" s="13" t="str">
        <f t="shared" si="49"/>
        <v/>
      </c>
      <c r="BT34" s="13" t="str">
        <f t="shared" si="49"/>
        <v/>
      </c>
      <c r="BU34" s="13" t="str">
        <f t="shared" si="49"/>
        <v/>
      </c>
      <c r="BV34" s="13" t="str">
        <f t="shared" si="49"/>
        <v/>
      </c>
      <c r="BW34" s="13" t="str">
        <f t="shared" si="49"/>
        <v/>
      </c>
      <c r="BX34" s="13" t="str">
        <f t="shared" si="49"/>
        <v/>
      </c>
      <c r="BY34" s="13" t="str">
        <f t="shared" si="49"/>
        <v/>
      </c>
      <c r="BZ34" s="13" t="str">
        <f t="shared" si="49"/>
        <v/>
      </c>
      <c r="CA34" s="13" t="str">
        <f t="shared" si="49"/>
        <v/>
      </c>
      <c r="CB34" s="13" t="str">
        <f t="shared" si="49"/>
        <v/>
      </c>
      <c r="CC34" s="13" t="str">
        <f t="shared" si="49"/>
        <v/>
      </c>
      <c r="CD34" s="13" t="str">
        <f t="shared" si="49"/>
        <v/>
      </c>
      <c r="CE34" s="13" t="str">
        <f t="shared" si="49"/>
        <v/>
      </c>
      <c r="CF34" s="13" t="str">
        <f t="shared" si="49"/>
        <v/>
      </c>
      <c r="CG34" s="13" t="str">
        <f t="shared" si="49"/>
        <v/>
      </c>
      <c r="CH34" s="13" t="str">
        <f t="shared" si="49"/>
        <v/>
      </c>
      <c r="CI34" s="13" t="str">
        <f t="shared" si="49"/>
        <v/>
      </c>
      <c r="CJ34" s="13" t="str">
        <f t="shared" si="49"/>
        <v/>
      </c>
      <c r="CK34" s="13" t="str">
        <f t="shared" si="49"/>
        <v/>
      </c>
      <c r="CL34" s="13" t="str">
        <f t="shared" si="49"/>
        <v/>
      </c>
      <c r="CM34" s="13" t="str">
        <f t="shared" si="49"/>
        <v/>
      </c>
      <c r="CN34" s="13" t="str">
        <f t="shared" si="49"/>
        <v/>
      </c>
      <c r="CO34" s="13" t="str">
        <f t="shared" si="49"/>
        <v/>
      </c>
      <c r="CP34" s="13" t="str">
        <f t="shared" si="49"/>
        <v/>
      </c>
      <c r="CQ34" s="13" t="str">
        <f t="shared" si="49"/>
        <v/>
      </c>
      <c r="CR34" s="13" t="str">
        <f t="shared" si="49"/>
        <v/>
      </c>
      <c r="CS34" s="13" t="str">
        <f t="shared" si="49"/>
        <v/>
      </c>
      <c r="CT34" s="13" t="str">
        <f t="shared" si="49"/>
        <v/>
      </c>
      <c r="CU34" s="13" t="str">
        <f t="shared" si="49"/>
        <v/>
      </c>
      <c r="CV34" s="13" t="str">
        <f t="shared" si="49"/>
        <v/>
      </c>
      <c r="CW34" s="13" t="str">
        <f t="shared" si="49"/>
        <v/>
      </c>
      <c r="CX34" s="13" t="str">
        <f t="shared" si="49"/>
        <v/>
      </c>
      <c r="CY34" s="13" t="str">
        <f t="shared" si="49"/>
        <v/>
      </c>
      <c r="CZ34" s="13" t="str">
        <f t="shared" si="49"/>
        <v/>
      </c>
      <c r="DA34" s="13" t="str">
        <f t="shared" si="49"/>
        <v/>
      </c>
      <c r="DB34" s="13" t="str">
        <f t="shared" si="49"/>
        <v/>
      </c>
      <c r="DC34" s="13" t="str">
        <f t="shared" si="49"/>
        <v/>
      </c>
      <c r="DD34" s="13" t="str">
        <f t="shared" si="49"/>
        <v/>
      </c>
      <c r="DE34" s="13" t="str">
        <f t="shared" si="49"/>
        <v/>
      </c>
      <c r="DF34" s="13" t="str">
        <f t="shared" si="49"/>
        <v/>
      </c>
      <c r="DG34" s="13" t="str">
        <f t="shared" si="46"/>
        <v/>
      </c>
      <c r="DH34" s="13" t="str">
        <f t="shared" si="46"/>
        <v/>
      </c>
      <c r="DI34" s="13" t="str">
        <f t="shared" si="46"/>
        <v/>
      </c>
      <c r="DJ34" s="13" t="str">
        <f t="shared" si="46"/>
        <v/>
      </c>
      <c r="DK34" s="13" t="str">
        <f t="shared" si="46"/>
        <v/>
      </c>
      <c r="DL34" s="13" t="str">
        <f t="shared" si="46"/>
        <v/>
      </c>
      <c r="DM34" s="13" t="str">
        <f t="shared" si="46"/>
        <v/>
      </c>
      <c r="DN34" s="13" t="str">
        <f t="shared" si="46"/>
        <v/>
      </c>
      <c r="DO34" s="13" t="str">
        <f t="shared" si="46"/>
        <v/>
      </c>
      <c r="DP34" s="13" t="str">
        <f t="shared" si="46"/>
        <v/>
      </c>
      <c r="DQ34" s="13" t="str">
        <f t="shared" si="46"/>
        <v/>
      </c>
      <c r="DR34" s="13" t="str">
        <f t="shared" si="46"/>
        <v/>
      </c>
      <c r="DS34" s="13" t="str">
        <f t="shared" si="46"/>
        <v/>
      </c>
      <c r="DT34" s="13" t="str">
        <f t="shared" si="46"/>
        <v/>
      </c>
      <c r="DU34" s="13" t="str">
        <f t="shared" si="46"/>
        <v/>
      </c>
      <c r="DV34" s="13" t="str">
        <f t="shared" si="46"/>
        <v/>
      </c>
      <c r="DW34" s="13" t="str">
        <f t="shared" si="46"/>
        <v/>
      </c>
      <c r="DX34" s="13" t="str">
        <f t="shared" si="46"/>
        <v/>
      </c>
      <c r="DY34" s="13" t="str">
        <f t="shared" si="46"/>
        <v/>
      </c>
      <c r="DZ34" s="13" t="str">
        <f t="shared" si="46"/>
        <v/>
      </c>
      <c r="EA34" s="13" t="str">
        <f t="shared" si="46"/>
        <v/>
      </c>
      <c r="EB34" s="13" t="str">
        <f t="shared" si="46"/>
        <v/>
      </c>
      <c r="EC34" s="13" t="str">
        <f t="shared" si="46"/>
        <v/>
      </c>
      <c r="ED34" s="13" t="str">
        <f t="shared" si="46"/>
        <v/>
      </c>
      <c r="EE34" s="13" t="str">
        <f t="shared" si="46"/>
        <v/>
      </c>
      <c r="EF34" s="13" t="str">
        <f t="shared" si="46"/>
        <v/>
      </c>
      <c r="EG34" s="13" t="str">
        <f t="shared" si="46"/>
        <v/>
      </c>
      <c r="EH34" s="13" t="str">
        <f t="shared" si="46"/>
        <v/>
      </c>
      <c r="EI34" s="13" t="str">
        <f t="shared" si="46"/>
        <v/>
      </c>
      <c r="EJ34" s="13" t="str">
        <f t="shared" si="46"/>
        <v/>
      </c>
      <c r="EK34" s="13" t="str">
        <f t="shared" si="46"/>
        <v/>
      </c>
      <c r="EL34" s="13" t="str">
        <f t="shared" si="46"/>
        <v/>
      </c>
      <c r="EM34" s="13" t="str">
        <f t="shared" si="46"/>
        <v/>
      </c>
      <c r="EN34" s="13" t="str">
        <f t="shared" si="46"/>
        <v/>
      </c>
      <c r="EO34" s="13" t="str">
        <f t="shared" si="46"/>
        <v/>
      </c>
      <c r="EP34" s="13" t="str">
        <f t="shared" si="46"/>
        <v/>
      </c>
      <c r="EQ34" s="13" t="str">
        <f t="shared" si="46"/>
        <v/>
      </c>
      <c r="ER34" s="13" t="str">
        <f t="shared" si="46"/>
        <v/>
      </c>
      <c r="ES34" s="13" t="str">
        <f t="shared" si="46"/>
        <v/>
      </c>
      <c r="ET34" s="13" t="str">
        <f t="shared" si="46"/>
        <v/>
      </c>
      <c r="EU34" s="13" t="str">
        <f t="shared" si="46"/>
        <v/>
      </c>
      <c r="EV34" s="13" t="str">
        <f t="shared" si="46"/>
        <v/>
      </c>
      <c r="EW34" s="13" t="str">
        <f t="shared" si="46"/>
        <v/>
      </c>
      <c r="EX34" s="13" t="str">
        <f t="shared" si="46"/>
        <v/>
      </c>
      <c r="EY34" s="13" t="str">
        <f t="shared" si="46"/>
        <v/>
      </c>
      <c r="EZ34" s="13" t="str">
        <f t="shared" si="46"/>
        <v/>
      </c>
      <c r="FA34" s="13" t="str">
        <f t="shared" si="46"/>
        <v/>
      </c>
      <c r="FB34" s="13" t="str">
        <f t="shared" si="46"/>
        <v/>
      </c>
      <c r="FC34" s="13" t="str">
        <f t="shared" si="46"/>
        <v/>
      </c>
      <c r="FD34" s="13" t="str">
        <f t="shared" si="46"/>
        <v/>
      </c>
      <c r="FE34" s="13" t="str">
        <f t="shared" si="46"/>
        <v/>
      </c>
      <c r="FF34" s="13" t="str">
        <f t="shared" si="46"/>
        <v/>
      </c>
      <c r="FG34" s="13" t="str">
        <f t="shared" si="46"/>
        <v/>
      </c>
      <c r="FH34" s="13" t="str">
        <f t="shared" si="46"/>
        <v/>
      </c>
      <c r="FI34" s="13" t="str">
        <f t="shared" si="46"/>
        <v/>
      </c>
      <c r="FJ34" s="13" t="str">
        <f t="shared" si="46"/>
        <v/>
      </c>
      <c r="FK34" s="13" t="str">
        <f t="shared" si="46"/>
        <v/>
      </c>
      <c r="FL34" s="13" t="str">
        <f t="shared" si="46"/>
        <v/>
      </c>
      <c r="FM34" s="13" t="str">
        <f t="shared" si="46"/>
        <v/>
      </c>
      <c r="FN34" s="13" t="str">
        <f t="shared" si="46"/>
        <v/>
      </c>
      <c r="FO34" s="13" t="str">
        <f t="shared" si="46"/>
        <v/>
      </c>
      <c r="FP34" s="13" t="str">
        <f t="shared" si="46"/>
        <v/>
      </c>
      <c r="FQ34" s="13" t="str">
        <f t="shared" si="46"/>
        <v/>
      </c>
      <c r="FR34" s="13" t="str">
        <f t="shared" si="38"/>
        <v/>
      </c>
      <c r="FS34" s="13" t="str">
        <f t="shared" ref="FS34:ID37" si="51">IF(FS63&gt;0,TEXT(FS$50,"R"&amp;0)&amp;", ","")</f>
        <v/>
      </c>
      <c r="FT34" s="13" t="str">
        <f t="shared" si="51"/>
        <v/>
      </c>
      <c r="FU34" s="13" t="str">
        <f t="shared" si="51"/>
        <v/>
      </c>
      <c r="FV34" s="13" t="str">
        <f t="shared" si="51"/>
        <v/>
      </c>
      <c r="FW34" s="13" t="str">
        <f t="shared" si="51"/>
        <v/>
      </c>
      <c r="FX34" s="13" t="str">
        <f t="shared" si="51"/>
        <v/>
      </c>
      <c r="FY34" s="13" t="str">
        <f t="shared" si="51"/>
        <v/>
      </c>
      <c r="FZ34" s="13" t="str">
        <f t="shared" si="51"/>
        <v/>
      </c>
      <c r="GA34" s="13" t="str">
        <f t="shared" si="51"/>
        <v/>
      </c>
      <c r="GB34" s="13" t="str">
        <f t="shared" si="51"/>
        <v/>
      </c>
      <c r="GC34" s="13" t="str">
        <f t="shared" si="51"/>
        <v/>
      </c>
      <c r="GD34" s="13" t="str">
        <f t="shared" si="51"/>
        <v/>
      </c>
      <c r="GE34" s="13" t="str">
        <f t="shared" si="51"/>
        <v/>
      </c>
      <c r="GF34" s="13" t="str">
        <f t="shared" si="51"/>
        <v/>
      </c>
      <c r="GG34" s="13" t="str">
        <f t="shared" si="51"/>
        <v/>
      </c>
      <c r="GH34" s="13" t="str">
        <f t="shared" si="51"/>
        <v/>
      </c>
      <c r="GI34" s="13" t="str">
        <f t="shared" si="51"/>
        <v/>
      </c>
      <c r="GJ34" s="13" t="str">
        <f t="shared" si="51"/>
        <v/>
      </c>
      <c r="GK34" s="13" t="str">
        <f t="shared" si="51"/>
        <v/>
      </c>
      <c r="GL34" s="13" t="str">
        <f t="shared" si="51"/>
        <v/>
      </c>
      <c r="GM34" s="13" t="str">
        <f t="shared" si="51"/>
        <v/>
      </c>
      <c r="GN34" s="13" t="str">
        <f t="shared" si="51"/>
        <v/>
      </c>
      <c r="GO34" s="13" t="str">
        <f t="shared" si="51"/>
        <v/>
      </c>
      <c r="GP34" s="13" t="str">
        <f t="shared" si="51"/>
        <v/>
      </c>
      <c r="GQ34" s="13" t="str">
        <f t="shared" si="51"/>
        <v/>
      </c>
      <c r="GR34" s="13" t="str">
        <f t="shared" si="51"/>
        <v/>
      </c>
      <c r="GS34" s="13" t="str">
        <f t="shared" si="51"/>
        <v/>
      </c>
      <c r="GT34" s="13" t="str">
        <f t="shared" si="51"/>
        <v/>
      </c>
      <c r="GU34" s="13" t="str">
        <f t="shared" si="51"/>
        <v/>
      </c>
      <c r="GV34" s="13" t="str">
        <f t="shared" si="51"/>
        <v/>
      </c>
      <c r="GW34" s="13" t="str">
        <f t="shared" si="51"/>
        <v/>
      </c>
      <c r="GX34" s="13" t="str">
        <f t="shared" si="51"/>
        <v/>
      </c>
      <c r="GY34" s="13" t="str">
        <f t="shared" si="51"/>
        <v/>
      </c>
      <c r="GZ34" s="13" t="str">
        <f t="shared" si="51"/>
        <v/>
      </c>
      <c r="HA34" s="13" t="str">
        <f t="shared" si="51"/>
        <v/>
      </c>
      <c r="HB34" s="13" t="str">
        <f t="shared" si="51"/>
        <v/>
      </c>
      <c r="HC34" s="13" t="str">
        <f t="shared" si="51"/>
        <v/>
      </c>
      <c r="HD34" s="13" t="str">
        <f t="shared" si="51"/>
        <v/>
      </c>
      <c r="HE34" s="13" t="str">
        <f t="shared" si="51"/>
        <v/>
      </c>
      <c r="HF34" s="13" t="str">
        <f t="shared" si="51"/>
        <v/>
      </c>
      <c r="HG34" s="13" t="str">
        <f t="shared" si="51"/>
        <v/>
      </c>
      <c r="HH34" s="13" t="str">
        <f t="shared" si="51"/>
        <v/>
      </c>
      <c r="HI34" s="13" t="str">
        <f t="shared" si="51"/>
        <v/>
      </c>
      <c r="HJ34" s="13" t="str">
        <f t="shared" si="51"/>
        <v/>
      </c>
      <c r="HK34" s="13" t="str">
        <f t="shared" si="51"/>
        <v/>
      </c>
      <c r="HL34" s="13" t="str">
        <f t="shared" si="51"/>
        <v/>
      </c>
      <c r="HM34" s="13" t="str">
        <f t="shared" si="51"/>
        <v/>
      </c>
      <c r="HN34" s="13" t="str">
        <f t="shared" si="51"/>
        <v/>
      </c>
      <c r="HO34" s="13" t="str">
        <f t="shared" si="51"/>
        <v/>
      </c>
      <c r="HP34" s="13" t="str">
        <f t="shared" si="51"/>
        <v/>
      </c>
      <c r="HQ34" s="13" t="str">
        <f t="shared" si="51"/>
        <v/>
      </c>
      <c r="HR34" s="13" t="str">
        <f t="shared" si="51"/>
        <v/>
      </c>
      <c r="HS34" s="13" t="str">
        <f t="shared" si="51"/>
        <v/>
      </c>
      <c r="HT34" s="13" t="str">
        <f t="shared" si="51"/>
        <v/>
      </c>
      <c r="HU34" s="13" t="str">
        <f t="shared" si="51"/>
        <v/>
      </c>
      <c r="HV34" s="13" t="str">
        <f t="shared" si="51"/>
        <v/>
      </c>
      <c r="HW34" s="13" t="str">
        <f t="shared" si="51"/>
        <v/>
      </c>
      <c r="HX34" s="13" t="str">
        <f t="shared" si="51"/>
        <v/>
      </c>
      <c r="HY34" s="13" t="str">
        <f t="shared" si="51"/>
        <v/>
      </c>
      <c r="HZ34" s="13" t="str">
        <f t="shared" si="51"/>
        <v/>
      </c>
      <c r="IA34" s="13" t="str">
        <f t="shared" si="51"/>
        <v/>
      </c>
      <c r="IB34" s="13" t="str">
        <f t="shared" si="51"/>
        <v/>
      </c>
      <c r="IC34" s="13" t="str">
        <f t="shared" si="51"/>
        <v/>
      </c>
      <c r="ID34" s="13" t="str">
        <f t="shared" si="51"/>
        <v/>
      </c>
      <c r="IE34" s="13" t="str">
        <f t="shared" si="50"/>
        <v/>
      </c>
      <c r="IF34" s="13" t="str">
        <f t="shared" si="50"/>
        <v/>
      </c>
      <c r="IG34" s="13" t="str">
        <f t="shared" si="50"/>
        <v/>
      </c>
      <c r="IH34" s="13" t="str">
        <f t="shared" si="50"/>
        <v/>
      </c>
      <c r="II34" s="13" t="str">
        <f t="shared" si="50"/>
        <v/>
      </c>
      <c r="IJ34" s="13" t="str">
        <f t="shared" si="50"/>
        <v/>
      </c>
      <c r="IK34" s="13" t="str">
        <f t="shared" si="50"/>
        <v/>
      </c>
      <c r="IL34" s="13" t="str">
        <f t="shared" si="50"/>
        <v/>
      </c>
      <c r="IM34" s="13" t="str">
        <f t="shared" si="50"/>
        <v/>
      </c>
      <c r="IN34" s="13" t="str">
        <f t="shared" si="50"/>
        <v/>
      </c>
      <c r="IO34" s="13" t="str">
        <f t="shared" si="50"/>
        <v/>
      </c>
      <c r="IP34" s="13" t="str">
        <f t="shared" si="50"/>
        <v/>
      </c>
      <c r="IQ34" s="13" t="str">
        <f t="shared" si="50"/>
        <v/>
      </c>
      <c r="IR34" s="13" t="str">
        <f t="shared" si="50"/>
        <v/>
      </c>
      <c r="IS34" s="13" t="str">
        <f t="shared" si="50"/>
        <v/>
      </c>
      <c r="IT34" s="13" t="str">
        <f t="shared" si="50"/>
        <v/>
      </c>
      <c r="IU34" s="13" t="str">
        <f t="shared" si="50"/>
        <v/>
      </c>
      <c r="IV34" s="13" t="str">
        <f t="shared" si="50"/>
        <v/>
      </c>
      <c r="IW34" s="13" t="str">
        <f t="shared" si="50"/>
        <v/>
      </c>
      <c r="IX34" s="13" t="str">
        <f t="shared" si="50"/>
        <v/>
      </c>
      <c r="IY34" s="13" t="str">
        <f t="shared" si="50"/>
        <v/>
      </c>
      <c r="IZ34" s="13" t="str">
        <f t="shared" si="50"/>
        <v/>
      </c>
      <c r="JA34" s="13" t="str">
        <f t="shared" si="50"/>
        <v/>
      </c>
      <c r="JB34" s="13" t="str">
        <f t="shared" si="50"/>
        <v/>
      </c>
      <c r="JC34" s="13" t="str">
        <f t="shared" si="50"/>
        <v/>
      </c>
      <c r="JD34" s="13" t="str">
        <f t="shared" si="50"/>
        <v/>
      </c>
      <c r="JE34" s="13" t="str">
        <f t="shared" si="50"/>
        <v/>
      </c>
      <c r="JF34" s="13" t="str">
        <f t="shared" si="50"/>
        <v/>
      </c>
      <c r="JG34" s="13" t="str">
        <f t="shared" si="50"/>
        <v/>
      </c>
      <c r="JH34" s="13" t="str">
        <f t="shared" si="50"/>
        <v/>
      </c>
      <c r="JI34" s="13" t="str">
        <f t="shared" si="50"/>
        <v/>
      </c>
      <c r="JJ34" s="13" t="str">
        <f t="shared" si="50"/>
        <v/>
      </c>
      <c r="JK34" s="13" t="str">
        <f t="shared" si="50"/>
        <v/>
      </c>
      <c r="JL34" s="13" t="str">
        <f t="shared" si="50"/>
        <v/>
      </c>
      <c r="JM34" s="13" t="str">
        <f t="shared" si="50"/>
        <v/>
      </c>
      <c r="JN34" s="13" t="str">
        <f t="shared" si="50"/>
        <v/>
      </c>
      <c r="JO34" s="13" t="str">
        <f t="shared" si="50"/>
        <v/>
      </c>
      <c r="JP34" s="13" t="str">
        <f t="shared" si="50"/>
        <v/>
      </c>
      <c r="JQ34" s="13" t="str">
        <f t="shared" si="50"/>
        <v/>
      </c>
      <c r="JR34" s="13" t="str">
        <f t="shared" si="50"/>
        <v/>
      </c>
      <c r="JS34" s="13" t="str">
        <f t="shared" si="50"/>
        <v/>
      </c>
      <c r="JT34" s="13" t="str">
        <f t="shared" si="50"/>
        <v/>
      </c>
      <c r="JU34" s="13" t="str">
        <f t="shared" si="50"/>
        <v/>
      </c>
      <c r="JV34" s="13" t="str">
        <f t="shared" si="50"/>
        <v/>
      </c>
      <c r="JW34" s="13" t="str">
        <f t="shared" si="50"/>
        <v/>
      </c>
      <c r="JX34" s="13" t="str">
        <f t="shared" si="50"/>
        <v/>
      </c>
      <c r="JY34" s="13" t="str">
        <f t="shared" si="50"/>
        <v/>
      </c>
      <c r="JZ34" s="13" t="str">
        <f t="shared" si="50"/>
        <v/>
      </c>
      <c r="KA34" s="13" t="str">
        <f t="shared" si="50"/>
        <v/>
      </c>
      <c r="KB34" s="13" t="str">
        <f t="shared" si="50"/>
        <v/>
      </c>
      <c r="KC34" s="13" t="str">
        <f t="shared" si="50"/>
        <v/>
      </c>
      <c r="KD34" s="13" t="str">
        <f t="shared" si="50"/>
        <v/>
      </c>
      <c r="KE34" s="13" t="str">
        <f t="shared" si="50"/>
        <v/>
      </c>
      <c r="KF34" s="13" t="str">
        <f t="shared" si="50"/>
        <v/>
      </c>
      <c r="KG34" s="13" t="str">
        <f t="shared" si="50"/>
        <v/>
      </c>
      <c r="KH34" s="13" t="str">
        <f t="shared" si="50"/>
        <v/>
      </c>
      <c r="KI34" s="13" t="str">
        <f t="shared" si="50"/>
        <v/>
      </c>
      <c r="KJ34" s="13" t="str">
        <f t="shared" si="50"/>
        <v/>
      </c>
      <c r="KK34" s="13" t="str">
        <f t="shared" si="50"/>
        <v/>
      </c>
      <c r="KL34" s="13" t="str">
        <f t="shared" si="50"/>
        <v/>
      </c>
      <c r="KM34" s="13" t="str">
        <f t="shared" si="50"/>
        <v/>
      </c>
      <c r="KN34" s="13" t="str">
        <f t="shared" si="50"/>
        <v/>
      </c>
      <c r="KO34" s="13" t="str">
        <f t="shared" si="50"/>
        <v/>
      </c>
      <c r="KP34" s="13" t="str">
        <f t="shared" si="47"/>
        <v/>
      </c>
      <c r="KQ34" s="13" t="str">
        <f t="shared" si="47"/>
        <v/>
      </c>
      <c r="KR34" s="13" t="str">
        <f t="shared" si="47"/>
        <v/>
      </c>
      <c r="KS34" s="13" t="str">
        <f t="shared" si="44"/>
        <v/>
      </c>
      <c r="KT34" s="13" t="str">
        <f t="shared" si="48"/>
        <v/>
      </c>
      <c r="KU34" s="13" t="str">
        <f t="shared" si="48"/>
        <v/>
      </c>
      <c r="KV34" s="13" t="str">
        <f t="shared" si="48"/>
        <v/>
      </c>
      <c r="KW34" s="13" t="str">
        <f t="shared" si="48"/>
        <v/>
      </c>
      <c r="KX34" s="13" t="str">
        <f t="shared" si="48"/>
        <v/>
      </c>
      <c r="KY34" s="13" t="str">
        <f t="shared" si="48"/>
        <v/>
      </c>
      <c r="KZ34" s="13" t="str">
        <f t="shared" si="48"/>
        <v/>
      </c>
      <c r="LA34" s="13" t="str">
        <f t="shared" si="48"/>
        <v/>
      </c>
      <c r="LB34" s="13" t="str">
        <f t="shared" si="48"/>
        <v/>
      </c>
      <c r="LC34" s="13" t="str">
        <f t="shared" si="48"/>
        <v/>
      </c>
      <c r="LD34" s="13" t="str">
        <f t="shared" si="48"/>
        <v/>
      </c>
      <c r="LE34" s="13" t="str">
        <f t="shared" si="48"/>
        <v/>
      </c>
      <c r="LF34" s="13" t="str">
        <f t="shared" si="48"/>
        <v/>
      </c>
      <c r="LG34" s="13" t="str">
        <f t="shared" si="48"/>
        <v/>
      </c>
      <c r="LH34" s="13" t="str">
        <f t="shared" si="48"/>
        <v/>
      </c>
      <c r="LI34" s="13" t="str">
        <f t="shared" si="48"/>
        <v/>
      </c>
      <c r="LJ34" s="13" t="str">
        <f t="shared" si="48"/>
        <v/>
      </c>
      <c r="LK34" s="13" t="str">
        <f t="shared" si="48"/>
        <v/>
      </c>
      <c r="LL34" s="13" t="str">
        <f t="shared" si="48"/>
        <v/>
      </c>
      <c r="LM34" s="13" t="str">
        <f t="shared" si="48"/>
        <v/>
      </c>
      <c r="LN34" s="13" t="str">
        <f t="shared" si="48"/>
        <v/>
      </c>
      <c r="LO34" s="13" t="str">
        <f t="shared" si="48"/>
        <v/>
      </c>
      <c r="LP34" s="13" t="str">
        <f t="shared" si="48"/>
        <v/>
      </c>
      <c r="LQ34" s="13" t="str">
        <f t="shared" si="48"/>
        <v/>
      </c>
      <c r="LR34" s="13" t="str">
        <f t="shared" si="48"/>
        <v/>
      </c>
      <c r="LS34" s="13" t="str">
        <f t="shared" si="48"/>
        <v/>
      </c>
      <c r="LT34" s="13" t="str">
        <f t="shared" si="48"/>
        <v/>
      </c>
      <c r="LU34" s="13" t="str">
        <f t="shared" si="48"/>
        <v/>
      </c>
      <c r="LV34" s="13" t="str">
        <f t="shared" si="48"/>
        <v/>
      </c>
      <c r="LW34" s="13" t="str">
        <f t="shared" si="48"/>
        <v/>
      </c>
      <c r="LX34" s="13" t="str">
        <f t="shared" si="48"/>
        <v/>
      </c>
      <c r="LY34" s="13" t="str">
        <f t="shared" si="48"/>
        <v/>
      </c>
      <c r="LZ34" s="13" t="str">
        <f t="shared" si="48"/>
        <v/>
      </c>
      <c r="MA34" s="13" t="str">
        <f t="shared" si="48"/>
        <v/>
      </c>
      <c r="MB34" s="13" t="str">
        <f t="shared" si="48"/>
        <v/>
      </c>
      <c r="MC34" s="13" t="str">
        <f t="shared" si="48"/>
        <v/>
      </c>
      <c r="MD34" s="13" t="str">
        <f t="shared" si="48"/>
        <v/>
      </c>
      <c r="ME34" s="13" t="str">
        <f t="shared" si="48"/>
        <v/>
      </c>
      <c r="MF34" s="13" t="str">
        <f t="shared" si="48"/>
        <v/>
      </c>
      <c r="MG34" s="13" t="str">
        <f t="shared" si="48"/>
        <v/>
      </c>
    </row>
    <row r="35" spans="1:345" x14ac:dyDescent="0.2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V35" s="8" t="str">
        <f t="shared" si="19"/>
        <v/>
      </c>
      <c r="W35" s="38" t="e">
        <f t="shared" si="7"/>
        <v>#N/A</v>
      </c>
      <c r="X35" s="38" t="e">
        <f t="shared" si="8"/>
        <v>#N/A</v>
      </c>
      <c r="Y35" s="45" t="str">
        <f t="shared" si="9"/>
        <v/>
      </c>
      <c r="Z35" s="40" t="str">
        <f t="shared" si="10"/>
        <v/>
      </c>
      <c r="AA35" s="49" t="e">
        <f t="shared" si="11"/>
        <v>#N/A</v>
      </c>
      <c r="AB35" s="40" t="str">
        <f t="shared" si="12"/>
        <v/>
      </c>
      <c r="AC35" s="49" t="e">
        <f t="shared" si="13"/>
        <v>#N/A</v>
      </c>
      <c r="AE35" s="9" t="str">
        <f t="shared" si="20"/>
        <v/>
      </c>
      <c r="AF35" s="9" t="str">
        <f t="shared" si="21"/>
        <v/>
      </c>
      <c r="AG35" s="9" t="str">
        <f t="shared" si="22"/>
        <v/>
      </c>
      <c r="AH35" s="9" t="str">
        <f t="shared" si="23"/>
        <v/>
      </c>
      <c r="AI35" s="9" t="str">
        <f t="shared" si="24"/>
        <v/>
      </c>
      <c r="AJ35" s="9" t="str">
        <f t="shared" si="25"/>
        <v/>
      </c>
      <c r="AK35" s="9" t="str">
        <f t="shared" si="26"/>
        <v/>
      </c>
      <c r="AL35" s="9" t="str">
        <f t="shared" si="27"/>
        <v/>
      </c>
      <c r="AM35" s="9" t="str">
        <f t="shared" si="28"/>
        <v/>
      </c>
      <c r="AN35" s="9" t="str">
        <f t="shared" si="29"/>
        <v/>
      </c>
      <c r="AO35" s="10" t="str">
        <f t="shared" si="30"/>
        <v/>
      </c>
      <c r="AP35" s="11">
        <f t="shared" si="31"/>
        <v>0</v>
      </c>
      <c r="AR35" s="13" t="str">
        <f t="shared" ref="AR35:AR46" si="52">IF(AS35&lt;&gt;"",IF(AR64="",AR34,AR64),"")</f>
        <v/>
      </c>
      <c r="AS35" s="13" t="str">
        <f t="shared" ref="AS35:AS46" si="53">IF(AS64&gt;0,AS64,"")</f>
        <v/>
      </c>
      <c r="AT35" s="13" t="str">
        <f t="shared" si="33"/>
        <v/>
      </c>
      <c r="AU35" s="13" t="str">
        <f t="shared" si="49"/>
        <v/>
      </c>
      <c r="AV35" s="13" t="str">
        <f t="shared" si="49"/>
        <v/>
      </c>
      <c r="AW35" s="13" t="str">
        <f t="shared" si="49"/>
        <v/>
      </c>
      <c r="AX35" s="13" t="str">
        <f t="shared" si="49"/>
        <v/>
      </c>
      <c r="AY35" s="13" t="str">
        <f t="shared" si="49"/>
        <v/>
      </c>
      <c r="AZ35" s="13" t="str">
        <f t="shared" si="49"/>
        <v/>
      </c>
      <c r="BA35" s="13" t="str">
        <f t="shared" si="49"/>
        <v/>
      </c>
      <c r="BB35" s="13" t="str">
        <f t="shared" si="49"/>
        <v/>
      </c>
      <c r="BC35" s="13" t="str">
        <f t="shared" si="49"/>
        <v/>
      </c>
      <c r="BD35" s="13" t="str">
        <f t="shared" si="49"/>
        <v/>
      </c>
      <c r="BE35" s="13" t="str">
        <f t="shared" si="49"/>
        <v/>
      </c>
      <c r="BF35" s="13" t="str">
        <f t="shared" si="49"/>
        <v/>
      </c>
      <c r="BG35" s="13" t="str">
        <f t="shared" si="49"/>
        <v/>
      </c>
      <c r="BH35" s="13" t="str">
        <f t="shared" si="49"/>
        <v/>
      </c>
      <c r="BI35" s="13" t="str">
        <f t="shared" si="49"/>
        <v/>
      </c>
      <c r="BJ35" s="13" t="str">
        <f t="shared" si="49"/>
        <v/>
      </c>
      <c r="BK35" s="13" t="str">
        <f t="shared" si="49"/>
        <v/>
      </c>
      <c r="BL35" s="13" t="str">
        <f t="shared" si="49"/>
        <v/>
      </c>
      <c r="BM35" s="13" t="str">
        <f t="shared" si="49"/>
        <v/>
      </c>
      <c r="BN35" s="13" t="str">
        <f t="shared" si="49"/>
        <v/>
      </c>
      <c r="BO35" s="13" t="str">
        <f t="shared" si="49"/>
        <v/>
      </c>
      <c r="BP35" s="13" t="str">
        <f t="shared" si="49"/>
        <v/>
      </c>
      <c r="BQ35" s="13" t="str">
        <f t="shared" si="49"/>
        <v/>
      </c>
      <c r="BR35" s="13" t="str">
        <f t="shared" si="49"/>
        <v/>
      </c>
      <c r="BS35" s="13" t="str">
        <f t="shared" si="49"/>
        <v/>
      </c>
      <c r="BT35" s="13" t="str">
        <f t="shared" si="49"/>
        <v/>
      </c>
      <c r="BU35" s="13" t="str">
        <f t="shared" si="49"/>
        <v/>
      </c>
      <c r="BV35" s="13" t="str">
        <f t="shared" si="49"/>
        <v/>
      </c>
      <c r="BW35" s="13" t="str">
        <f t="shared" si="49"/>
        <v/>
      </c>
      <c r="BX35" s="13" t="str">
        <f t="shared" si="49"/>
        <v/>
      </c>
      <c r="BY35" s="13" t="str">
        <f t="shared" si="49"/>
        <v/>
      </c>
      <c r="BZ35" s="13" t="str">
        <f t="shared" si="49"/>
        <v/>
      </c>
      <c r="CA35" s="13" t="str">
        <f t="shared" si="49"/>
        <v/>
      </c>
      <c r="CB35" s="13" t="str">
        <f t="shared" si="49"/>
        <v/>
      </c>
      <c r="CC35" s="13" t="str">
        <f t="shared" si="49"/>
        <v/>
      </c>
      <c r="CD35" s="13" t="str">
        <f t="shared" si="49"/>
        <v/>
      </c>
      <c r="CE35" s="13" t="str">
        <f t="shared" si="49"/>
        <v/>
      </c>
      <c r="CF35" s="13" t="str">
        <f t="shared" si="49"/>
        <v/>
      </c>
      <c r="CG35" s="13" t="str">
        <f t="shared" si="49"/>
        <v/>
      </c>
      <c r="CH35" s="13" t="str">
        <f t="shared" si="49"/>
        <v/>
      </c>
      <c r="CI35" s="13" t="str">
        <f t="shared" si="49"/>
        <v/>
      </c>
      <c r="CJ35" s="13" t="str">
        <f t="shared" si="49"/>
        <v/>
      </c>
      <c r="CK35" s="13" t="str">
        <f t="shared" si="49"/>
        <v/>
      </c>
      <c r="CL35" s="13" t="str">
        <f t="shared" si="49"/>
        <v/>
      </c>
      <c r="CM35" s="13" t="str">
        <f t="shared" si="49"/>
        <v/>
      </c>
      <c r="CN35" s="13" t="str">
        <f t="shared" si="49"/>
        <v/>
      </c>
      <c r="CO35" s="13" t="str">
        <f t="shared" si="49"/>
        <v/>
      </c>
      <c r="CP35" s="13" t="str">
        <f t="shared" si="49"/>
        <v/>
      </c>
      <c r="CQ35" s="13" t="str">
        <f t="shared" si="49"/>
        <v/>
      </c>
      <c r="CR35" s="13" t="str">
        <f t="shared" si="49"/>
        <v/>
      </c>
      <c r="CS35" s="13" t="str">
        <f t="shared" si="49"/>
        <v/>
      </c>
      <c r="CT35" s="13" t="str">
        <f t="shared" si="49"/>
        <v/>
      </c>
      <c r="CU35" s="13" t="str">
        <f t="shared" si="49"/>
        <v/>
      </c>
      <c r="CV35" s="13" t="str">
        <f t="shared" si="49"/>
        <v/>
      </c>
      <c r="CW35" s="13" t="str">
        <f t="shared" si="49"/>
        <v/>
      </c>
      <c r="CX35" s="13" t="str">
        <f t="shared" si="49"/>
        <v/>
      </c>
      <c r="CY35" s="13" t="str">
        <f t="shared" si="49"/>
        <v/>
      </c>
      <c r="CZ35" s="13" t="str">
        <f t="shared" si="49"/>
        <v/>
      </c>
      <c r="DA35" s="13" t="str">
        <f t="shared" si="49"/>
        <v/>
      </c>
      <c r="DB35" s="13" t="str">
        <f t="shared" si="49"/>
        <v/>
      </c>
      <c r="DC35" s="13" t="str">
        <f t="shared" si="49"/>
        <v/>
      </c>
      <c r="DD35" s="13" t="str">
        <f t="shared" si="49"/>
        <v/>
      </c>
      <c r="DE35" s="13" t="str">
        <f t="shared" si="49"/>
        <v/>
      </c>
      <c r="DF35" s="13" t="str">
        <f t="shared" ref="DF35:FQ38" si="54">IF(DF64&gt;0,TEXT(DF$50,"R"&amp;0)&amp;", ","")</f>
        <v/>
      </c>
      <c r="DG35" s="13" t="str">
        <f t="shared" si="54"/>
        <v/>
      </c>
      <c r="DH35" s="13" t="str">
        <f t="shared" si="54"/>
        <v/>
      </c>
      <c r="DI35" s="13" t="str">
        <f t="shared" si="54"/>
        <v/>
      </c>
      <c r="DJ35" s="13" t="str">
        <f t="shared" si="54"/>
        <v/>
      </c>
      <c r="DK35" s="13" t="str">
        <f t="shared" si="54"/>
        <v/>
      </c>
      <c r="DL35" s="13" t="str">
        <f t="shared" si="54"/>
        <v/>
      </c>
      <c r="DM35" s="13" t="str">
        <f t="shared" si="54"/>
        <v/>
      </c>
      <c r="DN35" s="13" t="str">
        <f t="shared" si="54"/>
        <v/>
      </c>
      <c r="DO35" s="13" t="str">
        <f t="shared" si="54"/>
        <v/>
      </c>
      <c r="DP35" s="13" t="str">
        <f t="shared" si="54"/>
        <v/>
      </c>
      <c r="DQ35" s="13" t="str">
        <f t="shared" si="54"/>
        <v/>
      </c>
      <c r="DR35" s="13" t="str">
        <f t="shared" si="54"/>
        <v/>
      </c>
      <c r="DS35" s="13" t="str">
        <f t="shared" si="54"/>
        <v/>
      </c>
      <c r="DT35" s="13" t="str">
        <f t="shared" si="54"/>
        <v/>
      </c>
      <c r="DU35" s="13" t="str">
        <f t="shared" si="54"/>
        <v/>
      </c>
      <c r="DV35" s="13" t="str">
        <f t="shared" si="54"/>
        <v/>
      </c>
      <c r="DW35" s="13" t="str">
        <f t="shared" si="54"/>
        <v/>
      </c>
      <c r="DX35" s="13" t="str">
        <f t="shared" si="54"/>
        <v/>
      </c>
      <c r="DY35" s="13" t="str">
        <f t="shared" si="54"/>
        <v/>
      </c>
      <c r="DZ35" s="13" t="str">
        <f t="shared" si="54"/>
        <v/>
      </c>
      <c r="EA35" s="13" t="str">
        <f t="shared" si="54"/>
        <v/>
      </c>
      <c r="EB35" s="13" t="str">
        <f t="shared" si="54"/>
        <v/>
      </c>
      <c r="EC35" s="13" t="str">
        <f t="shared" si="54"/>
        <v/>
      </c>
      <c r="ED35" s="13" t="str">
        <f t="shared" si="54"/>
        <v/>
      </c>
      <c r="EE35" s="13" t="str">
        <f t="shared" si="54"/>
        <v/>
      </c>
      <c r="EF35" s="13" t="str">
        <f t="shared" si="54"/>
        <v/>
      </c>
      <c r="EG35" s="13" t="str">
        <f t="shared" si="54"/>
        <v/>
      </c>
      <c r="EH35" s="13" t="str">
        <f t="shared" si="54"/>
        <v/>
      </c>
      <c r="EI35" s="13" t="str">
        <f t="shared" si="54"/>
        <v/>
      </c>
      <c r="EJ35" s="13" t="str">
        <f t="shared" si="54"/>
        <v/>
      </c>
      <c r="EK35" s="13" t="str">
        <f t="shared" si="54"/>
        <v/>
      </c>
      <c r="EL35" s="13" t="str">
        <f t="shared" si="54"/>
        <v/>
      </c>
      <c r="EM35" s="13" t="str">
        <f t="shared" si="54"/>
        <v/>
      </c>
      <c r="EN35" s="13" t="str">
        <f t="shared" si="54"/>
        <v/>
      </c>
      <c r="EO35" s="13" t="str">
        <f t="shared" si="54"/>
        <v/>
      </c>
      <c r="EP35" s="13" t="str">
        <f t="shared" si="54"/>
        <v/>
      </c>
      <c r="EQ35" s="13" t="str">
        <f t="shared" si="54"/>
        <v/>
      </c>
      <c r="ER35" s="13" t="str">
        <f t="shared" si="54"/>
        <v/>
      </c>
      <c r="ES35" s="13" t="str">
        <f t="shared" si="54"/>
        <v/>
      </c>
      <c r="ET35" s="13" t="str">
        <f t="shared" si="54"/>
        <v/>
      </c>
      <c r="EU35" s="13" t="str">
        <f t="shared" si="54"/>
        <v/>
      </c>
      <c r="EV35" s="13" t="str">
        <f t="shared" si="54"/>
        <v/>
      </c>
      <c r="EW35" s="13" t="str">
        <f t="shared" si="54"/>
        <v/>
      </c>
      <c r="EX35" s="13" t="str">
        <f t="shared" si="54"/>
        <v/>
      </c>
      <c r="EY35" s="13" t="str">
        <f t="shared" si="54"/>
        <v/>
      </c>
      <c r="EZ35" s="13" t="str">
        <f t="shared" si="54"/>
        <v/>
      </c>
      <c r="FA35" s="13" t="str">
        <f t="shared" si="54"/>
        <v/>
      </c>
      <c r="FB35" s="13" t="str">
        <f t="shared" si="54"/>
        <v/>
      </c>
      <c r="FC35" s="13" t="str">
        <f t="shared" si="54"/>
        <v/>
      </c>
      <c r="FD35" s="13" t="str">
        <f t="shared" si="54"/>
        <v/>
      </c>
      <c r="FE35" s="13" t="str">
        <f t="shared" si="54"/>
        <v/>
      </c>
      <c r="FF35" s="13" t="str">
        <f t="shared" si="54"/>
        <v/>
      </c>
      <c r="FG35" s="13" t="str">
        <f t="shared" si="54"/>
        <v/>
      </c>
      <c r="FH35" s="13" t="str">
        <f t="shared" si="54"/>
        <v/>
      </c>
      <c r="FI35" s="13" t="str">
        <f t="shared" si="54"/>
        <v/>
      </c>
      <c r="FJ35" s="13" t="str">
        <f t="shared" si="54"/>
        <v/>
      </c>
      <c r="FK35" s="13" t="str">
        <f t="shared" si="54"/>
        <v/>
      </c>
      <c r="FL35" s="13" t="str">
        <f t="shared" si="54"/>
        <v/>
      </c>
      <c r="FM35" s="13" t="str">
        <f t="shared" si="54"/>
        <v/>
      </c>
      <c r="FN35" s="13" t="str">
        <f t="shared" si="54"/>
        <v/>
      </c>
      <c r="FO35" s="13" t="str">
        <f t="shared" si="54"/>
        <v/>
      </c>
      <c r="FP35" s="13" t="str">
        <f t="shared" si="54"/>
        <v/>
      </c>
      <c r="FQ35" s="13" t="str">
        <f t="shared" si="54"/>
        <v/>
      </c>
      <c r="FR35" s="13" t="str">
        <f t="shared" si="38"/>
        <v/>
      </c>
      <c r="FS35" s="13" t="str">
        <f t="shared" si="51"/>
        <v/>
      </c>
      <c r="FT35" s="13" t="str">
        <f t="shared" si="51"/>
        <v/>
      </c>
      <c r="FU35" s="13" t="str">
        <f t="shared" si="51"/>
        <v/>
      </c>
      <c r="FV35" s="13" t="str">
        <f t="shared" si="51"/>
        <v/>
      </c>
      <c r="FW35" s="13" t="str">
        <f t="shared" si="51"/>
        <v/>
      </c>
      <c r="FX35" s="13" t="str">
        <f t="shared" si="51"/>
        <v/>
      </c>
      <c r="FY35" s="13" t="str">
        <f t="shared" si="51"/>
        <v/>
      </c>
      <c r="FZ35" s="13" t="str">
        <f t="shared" si="51"/>
        <v/>
      </c>
      <c r="GA35" s="13" t="str">
        <f t="shared" si="51"/>
        <v/>
      </c>
      <c r="GB35" s="13" t="str">
        <f t="shared" si="51"/>
        <v/>
      </c>
      <c r="GC35" s="13" t="str">
        <f t="shared" si="51"/>
        <v/>
      </c>
      <c r="GD35" s="13" t="str">
        <f t="shared" si="51"/>
        <v/>
      </c>
      <c r="GE35" s="13" t="str">
        <f t="shared" si="51"/>
        <v/>
      </c>
      <c r="GF35" s="13" t="str">
        <f t="shared" si="51"/>
        <v/>
      </c>
      <c r="GG35" s="13" t="str">
        <f t="shared" si="51"/>
        <v/>
      </c>
      <c r="GH35" s="13" t="str">
        <f t="shared" si="51"/>
        <v/>
      </c>
      <c r="GI35" s="13" t="str">
        <f t="shared" si="51"/>
        <v/>
      </c>
      <c r="GJ35" s="13" t="str">
        <f t="shared" si="51"/>
        <v/>
      </c>
      <c r="GK35" s="13" t="str">
        <f t="shared" si="51"/>
        <v/>
      </c>
      <c r="GL35" s="13" t="str">
        <f t="shared" si="51"/>
        <v/>
      </c>
      <c r="GM35" s="13" t="str">
        <f t="shared" si="51"/>
        <v/>
      </c>
      <c r="GN35" s="13" t="str">
        <f t="shared" si="51"/>
        <v/>
      </c>
      <c r="GO35" s="13" t="str">
        <f t="shared" si="51"/>
        <v/>
      </c>
      <c r="GP35" s="13" t="str">
        <f t="shared" si="51"/>
        <v/>
      </c>
      <c r="GQ35" s="13" t="str">
        <f t="shared" si="51"/>
        <v/>
      </c>
      <c r="GR35" s="13" t="str">
        <f t="shared" si="51"/>
        <v/>
      </c>
      <c r="GS35" s="13" t="str">
        <f t="shared" si="51"/>
        <v/>
      </c>
      <c r="GT35" s="13" t="str">
        <f t="shared" si="51"/>
        <v/>
      </c>
      <c r="GU35" s="13" t="str">
        <f t="shared" si="51"/>
        <v/>
      </c>
      <c r="GV35" s="13" t="str">
        <f t="shared" si="51"/>
        <v/>
      </c>
      <c r="GW35" s="13" t="str">
        <f t="shared" si="51"/>
        <v/>
      </c>
      <c r="GX35" s="13" t="str">
        <f t="shared" si="51"/>
        <v/>
      </c>
      <c r="GY35" s="13" t="str">
        <f t="shared" si="51"/>
        <v/>
      </c>
      <c r="GZ35" s="13" t="str">
        <f t="shared" si="51"/>
        <v/>
      </c>
      <c r="HA35" s="13" t="str">
        <f t="shared" si="51"/>
        <v/>
      </c>
      <c r="HB35" s="13" t="str">
        <f t="shared" si="51"/>
        <v/>
      </c>
      <c r="HC35" s="13" t="str">
        <f t="shared" si="51"/>
        <v/>
      </c>
      <c r="HD35" s="13" t="str">
        <f t="shared" si="51"/>
        <v/>
      </c>
      <c r="HE35" s="13" t="str">
        <f t="shared" si="51"/>
        <v/>
      </c>
      <c r="HF35" s="13" t="str">
        <f t="shared" si="51"/>
        <v/>
      </c>
      <c r="HG35" s="13" t="str">
        <f t="shared" si="51"/>
        <v/>
      </c>
      <c r="HH35" s="13" t="str">
        <f t="shared" si="51"/>
        <v/>
      </c>
      <c r="HI35" s="13" t="str">
        <f t="shared" si="51"/>
        <v/>
      </c>
      <c r="HJ35" s="13" t="str">
        <f t="shared" si="51"/>
        <v/>
      </c>
      <c r="HK35" s="13" t="str">
        <f t="shared" si="51"/>
        <v/>
      </c>
      <c r="HL35" s="13" t="str">
        <f t="shared" si="51"/>
        <v/>
      </c>
      <c r="HM35" s="13" t="str">
        <f t="shared" si="51"/>
        <v/>
      </c>
      <c r="HN35" s="13" t="str">
        <f t="shared" si="51"/>
        <v/>
      </c>
      <c r="HO35" s="13" t="str">
        <f t="shared" si="51"/>
        <v/>
      </c>
      <c r="HP35" s="13" t="str">
        <f t="shared" si="51"/>
        <v/>
      </c>
      <c r="HQ35" s="13" t="str">
        <f t="shared" si="51"/>
        <v/>
      </c>
      <c r="HR35" s="13" t="str">
        <f t="shared" si="51"/>
        <v/>
      </c>
      <c r="HS35" s="13" t="str">
        <f t="shared" si="51"/>
        <v/>
      </c>
      <c r="HT35" s="13" t="str">
        <f t="shared" si="51"/>
        <v/>
      </c>
      <c r="HU35" s="13" t="str">
        <f t="shared" si="51"/>
        <v/>
      </c>
      <c r="HV35" s="13" t="str">
        <f t="shared" si="51"/>
        <v/>
      </c>
      <c r="HW35" s="13" t="str">
        <f t="shared" si="51"/>
        <v/>
      </c>
      <c r="HX35" s="13" t="str">
        <f t="shared" si="51"/>
        <v/>
      </c>
      <c r="HY35" s="13" t="str">
        <f t="shared" si="51"/>
        <v/>
      </c>
      <c r="HZ35" s="13" t="str">
        <f t="shared" si="51"/>
        <v/>
      </c>
      <c r="IA35" s="13" t="str">
        <f t="shared" si="51"/>
        <v/>
      </c>
      <c r="IB35" s="13" t="str">
        <f t="shared" si="51"/>
        <v/>
      </c>
      <c r="IC35" s="13" t="str">
        <f t="shared" si="51"/>
        <v/>
      </c>
      <c r="ID35" s="13" t="str">
        <f t="shared" si="51"/>
        <v/>
      </c>
      <c r="IE35" s="13" t="str">
        <f t="shared" si="50"/>
        <v/>
      </c>
      <c r="IF35" s="13" t="str">
        <f t="shared" si="50"/>
        <v/>
      </c>
      <c r="IG35" s="13" t="str">
        <f t="shared" si="50"/>
        <v/>
      </c>
      <c r="IH35" s="13" t="str">
        <f t="shared" si="50"/>
        <v/>
      </c>
      <c r="II35" s="13" t="str">
        <f t="shared" si="50"/>
        <v/>
      </c>
      <c r="IJ35" s="13" t="str">
        <f t="shared" si="50"/>
        <v/>
      </c>
      <c r="IK35" s="13" t="str">
        <f t="shared" si="50"/>
        <v/>
      </c>
      <c r="IL35" s="13" t="str">
        <f t="shared" si="50"/>
        <v/>
      </c>
      <c r="IM35" s="13" t="str">
        <f t="shared" si="50"/>
        <v/>
      </c>
      <c r="IN35" s="13" t="str">
        <f t="shared" si="50"/>
        <v/>
      </c>
      <c r="IO35" s="13" t="str">
        <f t="shared" si="50"/>
        <v/>
      </c>
      <c r="IP35" s="13" t="str">
        <f t="shared" si="50"/>
        <v/>
      </c>
      <c r="IQ35" s="13" t="str">
        <f t="shared" si="50"/>
        <v/>
      </c>
      <c r="IR35" s="13" t="str">
        <f t="shared" si="50"/>
        <v/>
      </c>
      <c r="IS35" s="13" t="str">
        <f t="shared" si="50"/>
        <v/>
      </c>
      <c r="IT35" s="13" t="str">
        <f t="shared" si="50"/>
        <v/>
      </c>
      <c r="IU35" s="13" t="str">
        <f t="shared" si="50"/>
        <v/>
      </c>
      <c r="IV35" s="13" t="str">
        <f t="shared" si="50"/>
        <v/>
      </c>
      <c r="IW35" s="13" t="str">
        <f t="shared" si="50"/>
        <v/>
      </c>
      <c r="IX35" s="13" t="str">
        <f t="shared" si="50"/>
        <v/>
      </c>
      <c r="IY35" s="13" t="str">
        <f t="shared" si="50"/>
        <v/>
      </c>
      <c r="IZ35" s="13" t="str">
        <f t="shared" si="50"/>
        <v/>
      </c>
      <c r="JA35" s="13" t="str">
        <f t="shared" si="50"/>
        <v/>
      </c>
      <c r="JB35" s="13" t="str">
        <f t="shared" si="50"/>
        <v/>
      </c>
      <c r="JC35" s="13" t="str">
        <f t="shared" si="50"/>
        <v/>
      </c>
      <c r="JD35" s="13" t="str">
        <f t="shared" si="50"/>
        <v/>
      </c>
      <c r="JE35" s="13" t="str">
        <f t="shared" si="50"/>
        <v/>
      </c>
      <c r="JF35" s="13" t="str">
        <f t="shared" si="50"/>
        <v/>
      </c>
      <c r="JG35" s="13" t="str">
        <f t="shared" si="50"/>
        <v/>
      </c>
      <c r="JH35" s="13" t="str">
        <f t="shared" si="50"/>
        <v/>
      </c>
      <c r="JI35" s="13" t="str">
        <f t="shared" si="50"/>
        <v/>
      </c>
      <c r="JJ35" s="13" t="str">
        <f t="shared" si="50"/>
        <v/>
      </c>
      <c r="JK35" s="13" t="str">
        <f t="shared" si="50"/>
        <v/>
      </c>
      <c r="JL35" s="13" t="str">
        <f t="shared" si="50"/>
        <v/>
      </c>
      <c r="JM35" s="13" t="str">
        <f t="shared" si="50"/>
        <v/>
      </c>
      <c r="JN35" s="13" t="str">
        <f t="shared" si="50"/>
        <v/>
      </c>
      <c r="JO35" s="13" t="str">
        <f t="shared" si="50"/>
        <v/>
      </c>
      <c r="JP35" s="13" t="str">
        <f t="shared" si="50"/>
        <v/>
      </c>
      <c r="JQ35" s="13" t="str">
        <f t="shared" si="50"/>
        <v/>
      </c>
      <c r="JR35" s="13" t="str">
        <f t="shared" si="50"/>
        <v/>
      </c>
      <c r="JS35" s="13" t="str">
        <f t="shared" si="50"/>
        <v/>
      </c>
      <c r="JT35" s="13" t="str">
        <f t="shared" si="50"/>
        <v/>
      </c>
      <c r="JU35" s="13" t="str">
        <f t="shared" si="50"/>
        <v/>
      </c>
      <c r="JV35" s="13" t="str">
        <f t="shared" si="50"/>
        <v/>
      </c>
      <c r="JW35" s="13" t="str">
        <f t="shared" si="50"/>
        <v/>
      </c>
      <c r="JX35" s="13" t="str">
        <f t="shared" si="50"/>
        <v/>
      </c>
      <c r="JY35" s="13" t="str">
        <f t="shared" si="50"/>
        <v/>
      </c>
      <c r="JZ35" s="13" t="str">
        <f t="shared" si="50"/>
        <v/>
      </c>
      <c r="KA35" s="13" t="str">
        <f t="shared" si="50"/>
        <v/>
      </c>
      <c r="KB35" s="13" t="str">
        <f t="shared" si="50"/>
        <v/>
      </c>
      <c r="KC35" s="13" t="str">
        <f t="shared" si="50"/>
        <v/>
      </c>
      <c r="KD35" s="13" t="str">
        <f t="shared" si="50"/>
        <v/>
      </c>
      <c r="KE35" s="13" t="str">
        <f t="shared" si="50"/>
        <v/>
      </c>
      <c r="KF35" s="13" t="str">
        <f t="shared" si="50"/>
        <v/>
      </c>
      <c r="KG35" s="13" t="str">
        <f t="shared" si="50"/>
        <v/>
      </c>
      <c r="KH35" s="13" t="str">
        <f t="shared" si="50"/>
        <v/>
      </c>
      <c r="KI35" s="13" t="str">
        <f t="shared" si="50"/>
        <v/>
      </c>
      <c r="KJ35" s="13" t="str">
        <f t="shared" si="50"/>
        <v/>
      </c>
      <c r="KK35" s="13" t="str">
        <f t="shared" si="50"/>
        <v/>
      </c>
      <c r="KL35" s="13" t="str">
        <f t="shared" si="50"/>
        <v/>
      </c>
      <c r="KM35" s="13" t="str">
        <f t="shared" si="50"/>
        <v/>
      </c>
      <c r="KN35" s="13" t="str">
        <f t="shared" si="50"/>
        <v/>
      </c>
      <c r="KO35" s="13" t="str">
        <f t="shared" si="50"/>
        <v/>
      </c>
      <c r="KP35" s="13" t="str">
        <f t="shared" si="47"/>
        <v/>
      </c>
      <c r="KQ35" s="13" t="str">
        <f t="shared" si="47"/>
        <v/>
      </c>
      <c r="KR35" s="13" t="str">
        <f t="shared" si="47"/>
        <v/>
      </c>
      <c r="KS35" s="13" t="str">
        <f t="shared" si="44"/>
        <v/>
      </c>
      <c r="KT35" s="13" t="str">
        <f t="shared" si="48"/>
        <v/>
      </c>
      <c r="KU35" s="13" t="str">
        <f t="shared" si="48"/>
        <v/>
      </c>
      <c r="KV35" s="13" t="str">
        <f t="shared" si="48"/>
        <v/>
      </c>
      <c r="KW35" s="13" t="str">
        <f t="shared" si="48"/>
        <v/>
      </c>
      <c r="KX35" s="13" t="str">
        <f t="shared" si="48"/>
        <v/>
      </c>
      <c r="KY35" s="13" t="str">
        <f t="shared" si="48"/>
        <v/>
      </c>
      <c r="KZ35" s="13" t="str">
        <f t="shared" si="48"/>
        <v/>
      </c>
      <c r="LA35" s="13" t="str">
        <f t="shared" si="48"/>
        <v/>
      </c>
      <c r="LB35" s="13" t="str">
        <f t="shared" si="48"/>
        <v/>
      </c>
      <c r="LC35" s="13" t="str">
        <f t="shared" si="48"/>
        <v/>
      </c>
      <c r="LD35" s="13" t="str">
        <f t="shared" si="48"/>
        <v/>
      </c>
      <c r="LE35" s="13" t="str">
        <f t="shared" si="48"/>
        <v/>
      </c>
      <c r="LF35" s="13" t="str">
        <f t="shared" si="48"/>
        <v/>
      </c>
      <c r="LG35" s="13" t="str">
        <f t="shared" si="48"/>
        <v/>
      </c>
      <c r="LH35" s="13" t="str">
        <f t="shared" si="48"/>
        <v/>
      </c>
      <c r="LI35" s="13" t="str">
        <f t="shared" si="48"/>
        <v/>
      </c>
      <c r="LJ35" s="13" t="str">
        <f t="shared" si="48"/>
        <v/>
      </c>
      <c r="LK35" s="13" t="str">
        <f t="shared" si="48"/>
        <v/>
      </c>
      <c r="LL35" s="13" t="str">
        <f t="shared" si="48"/>
        <v/>
      </c>
      <c r="LM35" s="13" t="str">
        <f t="shared" si="48"/>
        <v/>
      </c>
      <c r="LN35" s="13" t="str">
        <f t="shared" si="48"/>
        <v/>
      </c>
      <c r="LO35" s="13" t="str">
        <f t="shared" si="48"/>
        <v/>
      </c>
      <c r="LP35" s="13" t="str">
        <f t="shared" si="48"/>
        <v/>
      </c>
      <c r="LQ35" s="13" t="str">
        <f t="shared" si="48"/>
        <v/>
      </c>
      <c r="LR35" s="13" t="str">
        <f t="shared" si="48"/>
        <v/>
      </c>
      <c r="LS35" s="13" t="str">
        <f t="shared" si="48"/>
        <v/>
      </c>
      <c r="LT35" s="13" t="str">
        <f t="shared" si="48"/>
        <v/>
      </c>
      <c r="LU35" s="13" t="str">
        <f t="shared" si="48"/>
        <v/>
      </c>
      <c r="LV35" s="13" t="str">
        <f t="shared" si="48"/>
        <v/>
      </c>
      <c r="LW35" s="13" t="str">
        <f t="shared" si="48"/>
        <v/>
      </c>
      <c r="LX35" s="13" t="str">
        <f t="shared" si="48"/>
        <v/>
      </c>
      <c r="LY35" s="13" t="str">
        <f t="shared" si="48"/>
        <v/>
      </c>
      <c r="LZ35" s="13" t="str">
        <f t="shared" si="48"/>
        <v/>
      </c>
      <c r="MA35" s="13" t="str">
        <f t="shared" si="48"/>
        <v/>
      </c>
      <c r="MB35" s="13" t="str">
        <f t="shared" si="48"/>
        <v/>
      </c>
      <c r="MC35" s="13" t="str">
        <f t="shared" si="48"/>
        <v/>
      </c>
      <c r="MD35" s="13" t="str">
        <f t="shared" si="48"/>
        <v/>
      </c>
      <c r="ME35" s="13" t="str">
        <f t="shared" si="48"/>
        <v/>
      </c>
      <c r="MF35" s="13" t="str">
        <f t="shared" si="48"/>
        <v/>
      </c>
      <c r="MG35" s="13" t="str">
        <f t="shared" si="48"/>
        <v/>
      </c>
    </row>
    <row r="36" spans="1:345" x14ac:dyDescent="0.2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V36" s="8" t="str">
        <f t="shared" si="19"/>
        <v/>
      </c>
      <c r="W36" s="38" t="e">
        <f t="shared" si="7"/>
        <v>#N/A</v>
      </c>
      <c r="X36" s="38" t="e">
        <f t="shared" si="8"/>
        <v>#N/A</v>
      </c>
      <c r="Y36" s="45" t="str">
        <f t="shared" si="9"/>
        <v/>
      </c>
      <c r="Z36" s="40" t="str">
        <f t="shared" si="10"/>
        <v/>
      </c>
      <c r="AA36" s="49" t="e">
        <f t="shared" si="11"/>
        <v>#N/A</v>
      </c>
      <c r="AB36" s="40" t="str">
        <f t="shared" si="12"/>
        <v/>
      </c>
      <c r="AC36" s="49" t="e">
        <f t="shared" si="13"/>
        <v>#N/A</v>
      </c>
      <c r="AE36" s="9" t="str">
        <f t="shared" si="20"/>
        <v/>
      </c>
      <c r="AF36" s="9" t="str">
        <f t="shared" si="21"/>
        <v/>
      </c>
      <c r="AG36" s="9" t="str">
        <f t="shared" si="22"/>
        <v/>
      </c>
      <c r="AH36" s="9" t="str">
        <f t="shared" si="23"/>
        <v/>
      </c>
      <c r="AI36" s="9" t="str">
        <f t="shared" si="24"/>
        <v/>
      </c>
      <c r="AJ36" s="9" t="str">
        <f t="shared" si="25"/>
        <v/>
      </c>
      <c r="AK36" s="9" t="str">
        <f t="shared" si="26"/>
        <v/>
      </c>
      <c r="AL36" s="9" t="str">
        <f t="shared" si="27"/>
        <v/>
      </c>
      <c r="AM36" s="9" t="str">
        <f t="shared" si="28"/>
        <v/>
      </c>
      <c r="AN36" s="9" t="str">
        <f t="shared" si="29"/>
        <v/>
      </c>
      <c r="AO36" s="10" t="str">
        <f t="shared" si="30"/>
        <v/>
      </c>
      <c r="AP36" s="11">
        <f t="shared" si="31"/>
        <v>0</v>
      </c>
      <c r="AR36" s="13" t="str">
        <f t="shared" si="52"/>
        <v/>
      </c>
      <c r="AS36" s="13" t="str">
        <f t="shared" si="53"/>
        <v/>
      </c>
      <c r="AT36" s="13" t="str">
        <f t="shared" si="33"/>
        <v/>
      </c>
      <c r="AU36" s="13" t="str">
        <f t="shared" ref="AU36:DF39" si="55">IF(AU65&gt;0,TEXT(AU$50,"R"&amp;0)&amp;", ","")</f>
        <v/>
      </c>
      <c r="AV36" s="13" t="str">
        <f t="shared" si="55"/>
        <v/>
      </c>
      <c r="AW36" s="13" t="str">
        <f t="shared" si="55"/>
        <v/>
      </c>
      <c r="AX36" s="13" t="str">
        <f t="shared" si="55"/>
        <v/>
      </c>
      <c r="AY36" s="13" t="str">
        <f t="shared" si="55"/>
        <v/>
      </c>
      <c r="AZ36" s="13" t="str">
        <f t="shared" si="55"/>
        <v/>
      </c>
      <c r="BA36" s="13" t="str">
        <f t="shared" si="55"/>
        <v/>
      </c>
      <c r="BB36" s="13" t="str">
        <f t="shared" si="55"/>
        <v/>
      </c>
      <c r="BC36" s="13" t="str">
        <f t="shared" si="55"/>
        <v/>
      </c>
      <c r="BD36" s="13" t="str">
        <f t="shared" si="55"/>
        <v/>
      </c>
      <c r="BE36" s="13" t="str">
        <f t="shared" si="55"/>
        <v/>
      </c>
      <c r="BF36" s="13" t="str">
        <f t="shared" si="55"/>
        <v/>
      </c>
      <c r="BG36" s="13" t="str">
        <f t="shared" si="55"/>
        <v/>
      </c>
      <c r="BH36" s="13" t="str">
        <f t="shared" si="55"/>
        <v/>
      </c>
      <c r="BI36" s="13" t="str">
        <f t="shared" si="55"/>
        <v/>
      </c>
      <c r="BJ36" s="13" t="str">
        <f t="shared" si="55"/>
        <v/>
      </c>
      <c r="BK36" s="13" t="str">
        <f t="shared" si="55"/>
        <v/>
      </c>
      <c r="BL36" s="13" t="str">
        <f t="shared" si="55"/>
        <v/>
      </c>
      <c r="BM36" s="13" t="str">
        <f t="shared" si="55"/>
        <v/>
      </c>
      <c r="BN36" s="13" t="str">
        <f t="shared" si="55"/>
        <v/>
      </c>
      <c r="BO36" s="13" t="str">
        <f t="shared" si="55"/>
        <v/>
      </c>
      <c r="BP36" s="13" t="str">
        <f t="shared" si="55"/>
        <v/>
      </c>
      <c r="BQ36" s="13" t="str">
        <f t="shared" si="55"/>
        <v/>
      </c>
      <c r="BR36" s="13" t="str">
        <f t="shared" si="55"/>
        <v/>
      </c>
      <c r="BS36" s="13" t="str">
        <f t="shared" si="55"/>
        <v/>
      </c>
      <c r="BT36" s="13" t="str">
        <f t="shared" si="55"/>
        <v/>
      </c>
      <c r="BU36" s="13" t="str">
        <f t="shared" si="55"/>
        <v/>
      </c>
      <c r="BV36" s="13" t="str">
        <f t="shared" si="55"/>
        <v/>
      </c>
      <c r="BW36" s="13" t="str">
        <f t="shared" si="55"/>
        <v/>
      </c>
      <c r="BX36" s="13" t="str">
        <f t="shared" si="55"/>
        <v/>
      </c>
      <c r="BY36" s="13" t="str">
        <f t="shared" si="55"/>
        <v/>
      </c>
      <c r="BZ36" s="13" t="str">
        <f t="shared" si="55"/>
        <v/>
      </c>
      <c r="CA36" s="13" t="str">
        <f t="shared" si="55"/>
        <v/>
      </c>
      <c r="CB36" s="13" t="str">
        <f t="shared" si="55"/>
        <v/>
      </c>
      <c r="CC36" s="13" t="str">
        <f t="shared" si="55"/>
        <v/>
      </c>
      <c r="CD36" s="13" t="str">
        <f t="shared" si="55"/>
        <v/>
      </c>
      <c r="CE36" s="13" t="str">
        <f t="shared" si="55"/>
        <v/>
      </c>
      <c r="CF36" s="13" t="str">
        <f t="shared" si="55"/>
        <v/>
      </c>
      <c r="CG36" s="13" t="str">
        <f t="shared" si="55"/>
        <v/>
      </c>
      <c r="CH36" s="13" t="str">
        <f t="shared" si="55"/>
        <v/>
      </c>
      <c r="CI36" s="13" t="str">
        <f t="shared" si="55"/>
        <v/>
      </c>
      <c r="CJ36" s="13" t="str">
        <f t="shared" si="55"/>
        <v/>
      </c>
      <c r="CK36" s="13" t="str">
        <f t="shared" si="55"/>
        <v/>
      </c>
      <c r="CL36" s="13" t="str">
        <f t="shared" si="55"/>
        <v/>
      </c>
      <c r="CM36" s="13" t="str">
        <f t="shared" si="55"/>
        <v/>
      </c>
      <c r="CN36" s="13" t="str">
        <f t="shared" si="55"/>
        <v/>
      </c>
      <c r="CO36" s="13" t="str">
        <f t="shared" si="55"/>
        <v/>
      </c>
      <c r="CP36" s="13" t="str">
        <f t="shared" si="55"/>
        <v/>
      </c>
      <c r="CQ36" s="13" t="str">
        <f t="shared" si="55"/>
        <v/>
      </c>
      <c r="CR36" s="13" t="str">
        <f t="shared" si="55"/>
        <v/>
      </c>
      <c r="CS36" s="13" t="str">
        <f t="shared" si="55"/>
        <v/>
      </c>
      <c r="CT36" s="13" t="str">
        <f t="shared" si="55"/>
        <v/>
      </c>
      <c r="CU36" s="13" t="str">
        <f t="shared" si="55"/>
        <v/>
      </c>
      <c r="CV36" s="13" t="str">
        <f t="shared" si="55"/>
        <v/>
      </c>
      <c r="CW36" s="13" t="str">
        <f t="shared" si="55"/>
        <v/>
      </c>
      <c r="CX36" s="13" t="str">
        <f t="shared" si="55"/>
        <v/>
      </c>
      <c r="CY36" s="13" t="str">
        <f t="shared" si="55"/>
        <v/>
      </c>
      <c r="CZ36" s="13" t="str">
        <f t="shared" si="55"/>
        <v/>
      </c>
      <c r="DA36" s="13" t="str">
        <f t="shared" si="55"/>
        <v/>
      </c>
      <c r="DB36" s="13" t="str">
        <f t="shared" si="55"/>
        <v/>
      </c>
      <c r="DC36" s="13" t="str">
        <f t="shared" si="55"/>
        <v/>
      </c>
      <c r="DD36" s="13" t="str">
        <f t="shared" si="55"/>
        <v/>
      </c>
      <c r="DE36" s="13" t="str">
        <f t="shared" si="55"/>
        <v/>
      </c>
      <c r="DF36" s="13" t="str">
        <f t="shared" si="55"/>
        <v/>
      </c>
      <c r="DG36" s="13" t="str">
        <f t="shared" si="54"/>
        <v/>
      </c>
      <c r="DH36" s="13" t="str">
        <f t="shared" si="54"/>
        <v/>
      </c>
      <c r="DI36" s="13" t="str">
        <f t="shared" si="54"/>
        <v/>
      </c>
      <c r="DJ36" s="13" t="str">
        <f t="shared" si="54"/>
        <v/>
      </c>
      <c r="DK36" s="13" t="str">
        <f t="shared" si="54"/>
        <v/>
      </c>
      <c r="DL36" s="13" t="str">
        <f t="shared" si="54"/>
        <v/>
      </c>
      <c r="DM36" s="13" t="str">
        <f t="shared" si="54"/>
        <v/>
      </c>
      <c r="DN36" s="13" t="str">
        <f t="shared" si="54"/>
        <v/>
      </c>
      <c r="DO36" s="13" t="str">
        <f t="shared" si="54"/>
        <v/>
      </c>
      <c r="DP36" s="13" t="str">
        <f t="shared" si="54"/>
        <v/>
      </c>
      <c r="DQ36" s="13" t="str">
        <f t="shared" si="54"/>
        <v/>
      </c>
      <c r="DR36" s="13" t="str">
        <f t="shared" si="54"/>
        <v/>
      </c>
      <c r="DS36" s="13" t="str">
        <f t="shared" si="54"/>
        <v/>
      </c>
      <c r="DT36" s="13" t="str">
        <f t="shared" si="54"/>
        <v/>
      </c>
      <c r="DU36" s="13" t="str">
        <f t="shared" si="54"/>
        <v/>
      </c>
      <c r="DV36" s="13" t="str">
        <f t="shared" si="54"/>
        <v/>
      </c>
      <c r="DW36" s="13" t="str">
        <f t="shared" si="54"/>
        <v/>
      </c>
      <c r="DX36" s="13" t="str">
        <f t="shared" si="54"/>
        <v/>
      </c>
      <c r="DY36" s="13" t="str">
        <f t="shared" si="54"/>
        <v/>
      </c>
      <c r="DZ36" s="13" t="str">
        <f t="shared" si="54"/>
        <v/>
      </c>
      <c r="EA36" s="13" t="str">
        <f t="shared" si="54"/>
        <v/>
      </c>
      <c r="EB36" s="13" t="str">
        <f t="shared" si="54"/>
        <v/>
      </c>
      <c r="EC36" s="13" t="str">
        <f t="shared" si="54"/>
        <v/>
      </c>
      <c r="ED36" s="13" t="str">
        <f t="shared" si="54"/>
        <v/>
      </c>
      <c r="EE36" s="13" t="str">
        <f t="shared" si="54"/>
        <v/>
      </c>
      <c r="EF36" s="13" t="str">
        <f t="shared" si="54"/>
        <v/>
      </c>
      <c r="EG36" s="13" t="str">
        <f t="shared" si="54"/>
        <v/>
      </c>
      <c r="EH36" s="13" t="str">
        <f t="shared" si="54"/>
        <v/>
      </c>
      <c r="EI36" s="13" t="str">
        <f t="shared" si="54"/>
        <v/>
      </c>
      <c r="EJ36" s="13" t="str">
        <f t="shared" si="54"/>
        <v/>
      </c>
      <c r="EK36" s="13" t="str">
        <f t="shared" si="54"/>
        <v/>
      </c>
      <c r="EL36" s="13" t="str">
        <f t="shared" si="54"/>
        <v/>
      </c>
      <c r="EM36" s="13" t="str">
        <f t="shared" si="54"/>
        <v/>
      </c>
      <c r="EN36" s="13" t="str">
        <f t="shared" si="54"/>
        <v/>
      </c>
      <c r="EO36" s="13" t="str">
        <f t="shared" si="54"/>
        <v/>
      </c>
      <c r="EP36" s="13" t="str">
        <f t="shared" si="54"/>
        <v/>
      </c>
      <c r="EQ36" s="13" t="str">
        <f t="shared" si="54"/>
        <v/>
      </c>
      <c r="ER36" s="13" t="str">
        <f t="shared" si="54"/>
        <v/>
      </c>
      <c r="ES36" s="13" t="str">
        <f t="shared" si="54"/>
        <v/>
      </c>
      <c r="ET36" s="13" t="str">
        <f t="shared" si="54"/>
        <v/>
      </c>
      <c r="EU36" s="13" t="str">
        <f t="shared" si="54"/>
        <v/>
      </c>
      <c r="EV36" s="13" t="str">
        <f t="shared" si="54"/>
        <v/>
      </c>
      <c r="EW36" s="13" t="str">
        <f t="shared" si="54"/>
        <v/>
      </c>
      <c r="EX36" s="13" t="str">
        <f t="shared" si="54"/>
        <v/>
      </c>
      <c r="EY36" s="13" t="str">
        <f t="shared" si="54"/>
        <v/>
      </c>
      <c r="EZ36" s="13" t="str">
        <f t="shared" si="54"/>
        <v/>
      </c>
      <c r="FA36" s="13" t="str">
        <f t="shared" si="54"/>
        <v/>
      </c>
      <c r="FB36" s="13" t="str">
        <f t="shared" si="54"/>
        <v/>
      </c>
      <c r="FC36" s="13" t="str">
        <f t="shared" si="54"/>
        <v/>
      </c>
      <c r="FD36" s="13" t="str">
        <f t="shared" si="54"/>
        <v/>
      </c>
      <c r="FE36" s="13" t="str">
        <f t="shared" si="54"/>
        <v/>
      </c>
      <c r="FF36" s="13" t="str">
        <f t="shared" si="54"/>
        <v/>
      </c>
      <c r="FG36" s="13" t="str">
        <f t="shared" si="54"/>
        <v/>
      </c>
      <c r="FH36" s="13" t="str">
        <f t="shared" si="54"/>
        <v/>
      </c>
      <c r="FI36" s="13" t="str">
        <f t="shared" si="54"/>
        <v/>
      </c>
      <c r="FJ36" s="13" t="str">
        <f t="shared" si="54"/>
        <v/>
      </c>
      <c r="FK36" s="13" t="str">
        <f t="shared" si="54"/>
        <v/>
      </c>
      <c r="FL36" s="13" t="str">
        <f t="shared" si="54"/>
        <v/>
      </c>
      <c r="FM36" s="13" t="str">
        <f t="shared" si="54"/>
        <v/>
      </c>
      <c r="FN36" s="13" t="str">
        <f t="shared" si="54"/>
        <v/>
      </c>
      <c r="FO36" s="13" t="str">
        <f t="shared" si="54"/>
        <v/>
      </c>
      <c r="FP36" s="13" t="str">
        <f t="shared" si="54"/>
        <v/>
      </c>
      <c r="FQ36" s="13" t="str">
        <f t="shared" si="54"/>
        <v/>
      </c>
      <c r="FR36" s="13" t="str">
        <f t="shared" si="38"/>
        <v/>
      </c>
      <c r="FS36" s="13" t="str">
        <f t="shared" si="51"/>
        <v/>
      </c>
      <c r="FT36" s="13" t="str">
        <f t="shared" si="51"/>
        <v/>
      </c>
      <c r="FU36" s="13" t="str">
        <f t="shared" si="51"/>
        <v/>
      </c>
      <c r="FV36" s="13" t="str">
        <f t="shared" si="51"/>
        <v/>
      </c>
      <c r="FW36" s="13" t="str">
        <f t="shared" si="51"/>
        <v/>
      </c>
      <c r="FX36" s="13" t="str">
        <f t="shared" si="51"/>
        <v/>
      </c>
      <c r="FY36" s="13" t="str">
        <f t="shared" si="51"/>
        <v/>
      </c>
      <c r="FZ36" s="13" t="str">
        <f t="shared" si="51"/>
        <v/>
      </c>
      <c r="GA36" s="13" t="str">
        <f t="shared" si="51"/>
        <v/>
      </c>
      <c r="GB36" s="13" t="str">
        <f t="shared" si="51"/>
        <v/>
      </c>
      <c r="GC36" s="13" t="str">
        <f t="shared" si="51"/>
        <v/>
      </c>
      <c r="GD36" s="13" t="str">
        <f t="shared" si="51"/>
        <v/>
      </c>
      <c r="GE36" s="13" t="str">
        <f t="shared" si="51"/>
        <v/>
      </c>
      <c r="GF36" s="13" t="str">
        <f t="shared" si="51"/>
        <v/>
      </c>
      <c r="GG36" s="13" t="str">
        <f t="shared" si="51"/>
        <v/>
      </c>
      <c r="GH36" s="13" t="str">
        <f t="shared" si="51"/>
        <v/>
      </c>
      <c r="GI36" s="13" t="str">
        <f t="shared" si="51"/>
        <v/>
      </c>
      <c r="GJ36" s="13" t="str">
        <f t="shared" si="51"/>
        <v/>
      </c>
      <c r="GK36" s="13" t="str">
        <f t="shared" si="51"/>
        <v/>
      </c>
      <c r="GL36" s="13" t="str">
        <f t="shared" si="51"/>
        <v/>
      </c>
      <c r="GM36" s="13" t="str">
        <f t="shared" si="51"/>
        <v/>
      </c>
      <c r="GN36" s="13" t="str">
        <f t="shared" si="51"/>
        <v/>
      </c>
      <c r="GO36" s="13" t="str">
        <f t="shared" si="51"/>
        <v/>
      </c>
      <c r="GP36" s="13" t="str">
        <f t="shared" si="51"/>
        <v/>
      </c>
      <c r="GQ36" s="13" t="str">
        <f t="shared" si="51"/>
        <v/>
      </c>
      <c r="GR36" s="13" t="str">
        <f t="shared" si="51"/>
        <v/>
      </c>
      <c r="GS36" s="13" t="str">
        <f t="shared" si="51"/>
        <v/>
      </c>
      <c r="GT36" s="13" t="str">
        <f t="shared" si="51"/>
        <v/>
      </c>
      <c r="GU36" s="13" t="str">
        <f t="shared" si="51"/>
        <v/>
      </c>
      <c r="GV36" s="13" t="str">
        <f t="shared" si="51"/>
        <v/>
      </c>
      <c r="GW36" s="13" t="str">
        <f t="shared" si="51"/>
        <v/>
      </c>
      <c r="GX36" s="13" t="str">
        <f t="shared" si="51"/>
        <v/>
      </c>
      <c r="GY36" s="13" t="str">
        <f t="shared" si="51"/>
        <v/>
      </c>
      <c r="GZ36" s="13" t="str">
        <f t="shared" si="51"/>
        <v/>
      </c>
      <c r="HA36" s="13" t="str">
        <f t="shared" si="51"/>
        <v/>
      </c>
      <c r="HB36" s="13" t="str">
        <f t="shared" si="51"/>
        <v/>
      </c>
      <c r="HC36" s="13" t="str">
        <f t="shared" si="51"/>
        <v/>
      </c>
      <c r="HD36" s="13" t="str">
        <f t="shared" si="51"/>
        <v/>
      </c>
      <c r="HE36" s="13" t="str">
        <f t="shared" si="51"/>
        <v/>
      </c>
      <c r="HF36" s="13" t="str">
        <f t="shared" si="51"/>
        <v/>
      </c>
      <c r="HG36" s="13" t="str">
        <f t="shared" si="51"/>
        <v/>
      </c>
      <c r="HH36" s="13" t="str">
        <f t="shared" si="51"/>
        <v/>
      </c>
      <c r="HI36" s="13" t="str">
        <f t="shared" si="51"/>
        <v/>
      </c>
      <c r="HJ36" s="13" t="str">
        <f t="shared" si="51"/>
        <v/>
      </c>
      <c r="HK36" s="13" t="str">
        <f t="shared" si="51"/>
        <v/>
      </c>
      <c r="HL36" s="13" t="str">
        <f t="shared" si="51"/>
        <v/>
      </c>
      <c r="HM36" s="13" t="str">
        <f t="shared" si="51"/>
        <v/>
      </c>
      <c r="HN36" s="13" t="str">
        <f t="shared" si="51"/>
        <v/>
      </c>
      <c r="HO36" s="13" t="str">
        <f t="shared" si="51"/>
        <v/>
      </c>
      <c r="HP36" s="13" t="str">
        <f t="shared" si="51"/>
        <v/>
      </c>
      <c r="HQ36" s="13" t="str">
        <f t="shared" si="51"/>
        <v/>
      </c>
      <c r="HR36" s="13" t="str">
        <f t="shared" si="51"/>
        <v/>
      </c>
      <c r="HS36" s="13" t="str">
        <f t="shared" si="51"/>
        <v/>
      </c>
      <c r="HT36" s="13" t="str">
        <f t="shared" si="51"/>
        <v/>
      </c>
      <c r="HU36" s="13" t="str">
        <f t="shared" si="51"/>
        <v/>
      </c>
      <c r="HV36" s="13" t="str">
        <f t="shared" si="51"/>
        <v/>
      </c>
      <c r="HW36" s="13" t="str">
        <f t="shared" si="51"/>
        <v/>
      </c>
      <c r="HX36" s="13" t="str">
        <f t="shared" si="51"/>
        <v/>
      </c>
      <c r="HY36" s="13" t="str">
        <f t="shared" si="51"/>
        <v/>
      </c>
      <c r="HZ36" s="13" t="str">
        <f t="shared" si="51"/>
        <v/>
      </c>
      <c r="IA36" s="13" t="str">
        <f t="shared" si="51"/>
        <v/>
      </c>
      <c r="IB36" s="13" t="str">
        <f t="shared" si="51"/>
        <v/>
      </c>
      <c r="IC36" s="13" t="str">
        <f t="shared" si="51"/>
        <v/>
      </c>
      <c r="ID36" s="13" t="str">
        <f t="shared" si="51"/>
        <v/>
      </c>
      <c r="IE36" s="13" t="str">
        <f t="shared" si="50"/>
        <v/>
      </c>
      <c r="IF36" s="13" t="str">
        <f t="shared" si="50"/>
        <v/>
      </c>
      <c r="IG36" s="13" t="str">
        <f t="shared" si="50"/>
        <v/>
      </c>
      <c r="IH36" s="13" t="str">
        <f t="shared" si="50"/>
        <v/>
      </c>
      <c r="II36" s="13" t="str">
        <f t="shared" si="50"/>
        <v/>
      </c>
      <c r="IJ36" s="13" t="str">
        <f t="shared" si="50"/>
        <v/>
      </c>
      <c r="IK36" s="13" t="str">
        <f t="shared" si="50"/>
        <v/>
      </c>
      <c r="IL36" s="13" t="str">
        <f t="shared" si="50"/>
        <v/>
      </c>
      <c r="IM36" s="13" t="str">
        <f t="shared" si="50"/>
        <v/>
      </c>
      <c r="IN36" s="13" t="str">
        <f t="shared" si="50"/>
        <v/>
      </c>
      <c r="IO36" s="13" t="str">
        <f t="shared" si="50"/>
        <v/>
      </c>
      <c r="IP36" s="13" t="str">
        <f t="shared" si="50"/>
        <v/>
      </c>
      <c r="IQ36" s="13" t="str">
        <f t="shared" si="50"/>
        <v/>
      </c>
      <c r="IR36" s="13" t="str">
        <f t="shared" si="50"/>
        <v/>
      </c>
      <c r="IS36" s="13" t="str">
        <f t="shared" si="50"/>
        <v/>
      </c>
      <c r="IT36" s="13" t="str">
        <f t="shared" si="50"/>
        <v/>
      </c>
      <c r="IU36" s="13" t="str">
        <f t="shared" si="50"/>
        <v/>
      </c>
      <c r="IV36" s="13" t="str">
        <f t="shared" si="50"/>
        <v/>
      </c>
      <c r="IW36" s="13" t="str">
        <f t="shared" si="50"/>
        <v/>
      </c>
      <c r="IX36" s="13" t="str">
        <f t="shared" si="50"/>
        <v/>
      </c>
      <c r="IY36" s="13" t="str">
        <f t="shared" si="50"/>
        <v/>
      </c>
      <c r="IZ36" s="13" t="str">
        <f t="shared" si="50"/>
        <v/>
      </c>
      <c r="JA36" s="13" t="str">
        <f t="shared" si="50"/>
        <v/>
      </c>
      <c r="JB36" s="13" t="str">
        <f t="shared" si="50"/>
        <v/>
      </c>
      <c r="JC36" s="13" t="str">
        <f t="shared" si="50"/>
        <v/>
      </c>
      <c r="JD36" s="13" t="str">
        <f t="shared" si="50"/>
        <v/>
      </c>
      <c r="JE36" s="13" t="str">
        <f t="shared" si="50"/>
        <v/>
      </c>
      <c r="JF36" s="13" t="str">
        <f t="shared" si="50"/>
        <v/>
      </c>
      <c r="JG36" s="13" t="str">
        <f t="shared" si="50"/>
        <v/>
      </c>
      <c r="JH36" s="13" t="str">
        <f t="shared" si="50"/>
        <v/>
      </c>
      <c r="JI36" s="13" t="str">
        <f t="shared" si="50"/>
        <v/>
      </c>
      <c r="JJ36" s="13" t="str">
        <f t="shared" si="50"/>
        <v/>
      </c>
      <c r="JK36" s="13" t="str">
        <f t="shared" si="50"/>
        <v/>
      </c>
      <c r="JL36" s="13" t="str">
        <f t="shared" si="50"/>
        <v/>
      </c>
      <c r="JM36" s="13" t="str">
        <f t="shared" si="50"/>
        <v/>
      </c>
      <c r="JN36" s="13" t="str">
        <f t="shared" si="50"/>
        <v/>
      </c>
      <c r="JO36" s="13" t="str">
        <f t="shared" si="50"/>
        <v/>
      </c>
      <c r="JP36" s="13" t="str">
        <f t="shared" si="50"/>
        <v/>
      </c>
      <c r="JQ36" s="13" t="str">
        <f t="shared" si="50"/>
        <v/>
      </c>
      <c r="JR36" s="13" t="str">
        <f t="shared" si="50"/>
        <v/>
      </c>
      <c r="JS36" s="13" t="str">
        <f t="shared" si="50"/>
        <v/>
      </c>
      <c r="JT36" s="13" t="str">
        <f t="shared" si="50"/>
        <v/>
      </c>
      <c r="JU36" s="13" t="str">
        <f t="shared" si="50"/>
        <v/>
      </c>
      <c r="JV36" s="13" t="str">
        <f t="shared" si="50"/>
        <v/>
      </c>
      <c r="JW36" s="13" t="str">
        <f t="shared" si="50"/>
        <v/>
      </c>
      <c r="JX36" s="13" t="str">
        <f t="shared" si="50"/>
        <v/>
      </c>
      <c r="JY36" s="13" t="str">
        <f t="shared" si="50"/>
        <v/>
      </c>
      <c r="JZ36" s="13" t="str">
        <f t="shared" si="50"/>
        <v/>
      </c>
      <c r="KA36" s="13" t="str">
        <f t="shared" si="50"/>
        <v/>
      </c>
      <c r="KB36" s="13" t="str">
        <f t="shared" si="50"/>
        <v/>
      </c>
      <c r="KC36" s="13" t="str">
        <f t="shared" si="50"/>
        <v/>
      </c>
      <c r="KD36" s="13" t="str">
        <f t="shared" si="50"/>
        <v/>
      </c>
      <c r="KE36" s="13" t="str">
        <f t="shared" si="50"/>
        <v/>
      </c>
      <c r="KF36" s="13" t="str">
        <f t="shared" si="50"/>
        <v/>
      </c>
      <c r="KG36" s="13" t="str">
        <f t="shared" si="50"/>
        <v/>
      </c>
      <c r="KH36" s="13" t="str">
        <f t="shared" si="50"/>
        <v/>
      </c>
      <c r="KI36" s="13" t="str">
        <f t="shared" si="50"/>
        <v/>
      </c>
      <c r="KJ36" s="13" t="str">
        <f t="shared" si="50"/>
        <v/>
      </c>
      <c r="KK36" s="13" t="str">
        <f t="shared" si="50"/>
        <v/>
      </c>
      <c r="KL36" s="13" t="str">
        <f t="shared" si="50"/>
        <v/>
      </c>
      <c r="KM36" s="13" t="str">
        <f t="shared" si="50"/>
        <v/>
      </c>
      <c r="KN36" s="13" t="str">
        <f t="shared" si="50"/>
        <v/>
      </c>
      <c r="KO36" s="13" t="str">
        <f t="shared" si="50"/>
        <v/>
      </c>
      <c r="KP36" s="13" t="str">
        <f t="shared" si="47"/>
        <v/>
      </c>
      <c r="KQ36" s="13" t="str">
        <f t="shared" si="47"/>
        <v/>
      </c>
      <c r="KR36" s="13" t="str">
        <f t="shared" si="47"/>
        <v/>
      </c>
      <c r="KS36" s="13" t="str">
        <f t="shared" si="44"/>
        <v/>
      </c>
      <c r="KT36" s="13" t="str">
        <f t="shared" si="48"/>
        <v/>
      </c>
      <c r="KU36" s="13" t="str">
        <f t="shared" si="48"/>
        <v/>
      </c>
      <c r="KV36" s="13" t="str">
        <f t="shared" si="48"/>
        <v/>
      </c>
      <c r="KW36" s="13" t="str">
        <f t="shared" si="48"/>
        <v/>
      </c>
      <c r="KX36" s="13" t="str">
        <f t="shared" si="48"/>
        <v/>
      </c>
      <c r="KY36" s="13" t="str">
        <f t="shared" si="48"/>
        <v/>
      </c>
      <c r="KZ36" s="13" t="str">
        <f t="shared" si="48"/>
        <v/>
      </c>
      <c r="LA36" s="13" t="str">
        <f t="shared" si="48"/>
        <v/>
      </c>
      <c r="LB36" s="13" t="str">
        <f t="shared" si="48"/>
        <v/>
      </c>
      <c r="LC36" s="13" t="str">
        <f t="shared" si="48"/>
        <v/>
      </c>
      <c r="LD36" s="13" t="str">
        <f t="shared" si="48"/>
        <v/>
      </c>
      <c r="LE36" s="13" t="str">
        <f t="shared" si="48"/>
        <v/>
      </c>
      <c r="LF36" s="13" t="str">
        <f t="shared" si="48"/>
        <v/>
      </c>
      <c r="LG36" s="13" t="str">
        <f t="shared" si="48"/>
        <v/>
      </c>
      <c r="LH36" s="13" t="str">
        <f t="shared" si="48"/>
        <v/>
      </c>
      <c r="LI36" s="13" t="str">
        <f t="shared" si="48"/>
        <v/>
      </c>
      <c r="LJ36" s="13" t="str">
        <f t="shared" si="48"/>
        <v/>
      </c>
      <c r="LK36" s="13" t="str">
        <f t="shared" si="48"/>
        <v/>
      </c>
      <c r="LL36" s="13" t="str">
        <f t="shared" si="48"/>
        <v/>
      </c>
      <c r="LM36" s="13" t="str">
        <f t="shared" si="48"/>
        <v/>
      </c>
      <c r="LN36" s="13" t="str">
        <f t="shared" si="48"/>
        <v/>
      </c>
      <c r="LO36" s="13" t="str">
        <f t="shared" si="48"/>
        <v/>
      </c>
      <c r="LP36" s="13" t="str">
        <f t="shared" si="48"/>
        <v/>
      </c>
      <c r="LQ36" s="13" t="str">
        <f t="shared" si="48"/>
        <v/>
      </c>
      <c r="LR36" s="13" t="str">
        <f t="shared" si="48"/>
        <v/>
      </c>
      <c r="LS36" s="13" t="str">
        <f t="shared" si="48"/>
        <v/>
      </c>
      <c r="LT36" s="13" t="str">
        <f t="shared" si="48"/>
        <v/>
      </c>
      <c r="LU36" s="13" t="str">
        <f t="shared" si="48"/>
        <v/>
      </c>
      <c r="LV36" s="13" t="str">
        <f t="shared" si="48"/>
        <v/>
      </c>
      <c r="LW36" s="13" t="str">
        <f t="shared" si="48"/>
        <v/>
      </c>
      <c r="LX36" s="13" t="str">
        <f t="shared" si="48"/>
        <v/>
      </c>
      <c r="LY36" s="13" t="str">
        <f t="shared" si="48"/>
        <v/>
      </c>
      <c r="LZ36" s="13" t="str">
        <f t="shared" si="48"/>
        <v/>
      </c>
      <c r="MA36" s="13" t="str">
        <f t="shared" si="48"/>
        <v/>
      </c>
      <c r="MB36" s="13" t="str">
        <f t="shared" si="48"/>
        <v/>
      </c>
      <c r="MC36" s="13" t="str">
        <f t="shared" si="48"/>
        <v/>
      </c>
      <c r="MD36" s="13" t="str">
        <f t="shared" si="48"/>
        <v/>
      </c>
      <c r="ME36" s="13" t="str">
        <f t="shared" si="48"/>
        <v/>
      </c>
      <c r="MF36" s="13" t="str">
        <f t="shared" si="48"/>
        <v/>
      </c>
      <c r="MG36" s="13" t="str">
        <f t="shared" si="48"/>
        <v/>
      </c>
    </row>
    <row r="37" spans="1:345" x14ac:dyDescent="0.2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V37" s="8" t="str">
        <f t="shared" si="19"/>
        <v/>
      </c>
      <c r="W37" s="38" t="e">
        <f t="shared" si="7"/>
        <v>#N/A</v>
      </c>
      <c r="X37" s="38" t="e">
        <f t="shared" si="8"/>
        <v>#N/A</v>
      </c>
      <c r="Y37" s="45" t="str">
        <f t="shared" si="9"/>
        <v/>
      </c>
      <c r="Z37" s="40" t="str">
        <f t="shared" si="10"/>
        <v/>
      </c>
      <c r="AA37" s="49" t="e">
        <f t="shared" si="11"/>
        <v>#N/A</v>
      </c>
      <c r="AB37" s="40" t="str">
        <f t="shared" si="12"/>
        <v/>
      </c>
      <c r="AC37" s="49" t="e">
        <f t="shared" si="13"/>
        <v>#N/A</v>
      </c>
      <c r="AE37" s="9" t="str">
        <f t="shared" si="20"/>
        <v/>
      </c>
      <c r="AF37" s="9" t="str">
        <f t="shared" si="21"/>
        <v/>
      </c>
      <c r="AG37" s="9" t="str">
        <f t="shared" si="22"/>
        <v/>
      </c>
      <c r="AH37" s="9" t="str">
        <f t="shared" si="23"/>
        <v/>
      </c>
      <c r="AI37" s="9" t="str">
        <f t="shared" si="24"/>
        <v/>
      </c>
      <c r="AJ37" s="9" t="str">
        <f t="shared" si="25"/>
        <v/>
      </c>
      <c r="AK37" s="9" t="str">
        <f t="shared" si="26"/>
        <v/>
      </c>
      <c r="AL37" s="9" t="str">
        <f t="shared" si="27"/>
        <v/>
      </c>
      <c r="AM37" s="9" t="str">
        <f t="shared" si="28"/>
        <v/>
      </c>
      <c r="AN37" s="9" t="str">
        <f t="shared" si="29"/>
        <v/>
      </c>
      <c r="AO37" s="10" t="str">
        <f t="shared" si="30"/>
        <v/>
      </c>
      <c r="AP37" s="11">
        <f t="shared" si="31"/>
        <v>0</v>
      </c>
      <c r="AR37" s="13" t="str">
        <f t="shared" si="52"/>
        <v/>
      </c>
      <c r="AS37" s="13" t="str">
        <f t="shared" si="53"/>
        <v/>
      </c>
      <c r="AT37" s="13" t="str">
        <f t="shared" si="33"/>
        <v/>
      </c>
      <c r="AU37" s="13" t="str">
        <f t="shared" si="55"/>
        <v/>
      </c>
      <c r="AV37" s="13" t="str">
        <f t="shared" si="55"/>
        <v/>
      </c>
      <c r="AW37" s="13" t="str">
        <f t="shared" si="55"/>
        <v/>
      </c>
      <c r="AX37" s="13" t="str">
        <f t="shared" si="55"/>
        <v/>
      </c>
      <c r="AY37" s="13" t="str">
        <f t="shared" si="55"/>
        <v/>
      </c>
      <c r="AZ37" s="13" t="str">
        <f t="shared" si="55"/>
        <v/>
      </c>
      <c r="BA37" s="13" t="str">
        <f t="shared" si="55"/>
        <v/>
      </c>
      <c r="BB37" s="13" t="str">
        <f t="shared" si="55"/>
        <v/>
      </c>
      <c r="BC37" s="13" t="str">
        <f t="shared" si="55"/>
        <v/>
      </c>
      <c r="BD37" s="13" t="str">
        <f t="shared" si="55"/>
        <v/>
      </c>
      <c r="BE37" s="13" t="str">
        <f t="shared" si="55"/>
        <v/>
      </c>
      <c r="BF37" s="13" t="str">
        <f t="shared" si="55"/>
        <v/>
      </c>
      <c r="BG37" s="13" t="str">
        <f t="shared" si="55"/>
        <v/>
      </c>
      <c r="BH37" s="13" t="str">
        <f t="shared" si="55"/>
        <v/>
      </c>
      <c r="BI37" s="13" t="str">
        <f t="shared" si="55"/>
        <v/>
      </c>
      <c r="BJ37" s="13" t="str">
        <f t="shared" si="55"/>
        <v/>
      </c>
      <c r="BK37" s="13" t="str">
        <f t="shared" si="55"/>
        <v/>
      </c>
      <c r="BL37" s="13" t="str">
        <f t="shared" si="55"/>
        <v/>
      </c>
      <c r="BM37" s="13" t="str">
        <f t="shared" si="55"/>
        <v/>
      </c>
      <c r="BN37" s="13" t="str">
        <f t="shared" si="55"/>
        <v/>
      </c>
      <c r="BO37" s="13" t="str">
        <f t="shared" si="55"/>
        <v/>
      </c>
      <c r="BP37" s="13" t="str">
        <f t="shared" si="55"/>
        <v/>
      </c>
      <c r="BQ37" s="13" t="str">
        <f t="shared" si="55"/>
        <v/>
      </c>
      <c r="BR37" s="13" t="str">
        <f t="shared" si="55"/>
        <v/>
      </c>
      <c r="BS37" s="13" t="str">
        <f t="shared" si="55"/>
        <v/>
      </c>
      <c r="BT37" s="13" t="str">
        <f t="shared" si="55"/>
        <v/>
      </c>
      <c r="BU37" s="13" t="str">
        <f t="shared" si="55"/>
        <v/>
      </c>
      <c r="BV37" s="13" t="str">
        <f t="shared" si="55"/>
        <v/>
      </c>
      <c r="BW37" s="13" t="str">
        <f t="shared" si="55"/>
        <v/>
      </c>
      <c r="BX37" s="13" t="str">
        <f t="shared" si="55"/>
        <v/>
      </c>
      <c r="BY37" s="13" t="str">
        <f t="shared" si="55"/>
        <v/>
      </c>
      <c r="BZ37" s="13" t="str">
        <f t="shared" si="55"/>
        <v/>
      </c>
      <c r="CA37" s="13" t="str">
        <f t="shared" si="55"/>
        <v/>
      </c>
      <c r="CB37" s="13" t="str">
        <f t="shared" si="55"/>
        <v/>
      </c>
      <c r="CC37" s="13" t="str">
        <f t="shared" si="55"/>
        <v/>
      </c>
      <c r="CD37" s="13" t="str">
        <f t="shared" si="55"/>
        <v/>
      </c>
      <c r="CE37" s="13" t="str">
        <f t="shared" si="55"/>
        <v/>
      </c>
      <c r="CF37" s="13" t="str">
        <f t="shared" si="55"/>
        <v/>
      </c>
      <c r="CG37" s="13" t="str">
        <f t="shared" si="55"/>
        <v/>
      </c>
      <c r="CH37" s="13" t="str">
        <f t="shared" si="55"/>
        <v/>
      </c>
      <c r="CI37" s="13" t="str">
        <f t="shared" si="55"/>
        <v/>
      </c>
      <c r="CJ37" s="13" t="str">
        <f t="shared" si="55"/>
        <v/>
      </c>
      <c r="CK37" s="13" t="str">
        <f t="shared" si="55"/>
        <v/>
      </c>
      <c r="CL37" s="13" t="str">
        <f t="shared" si="55"/>
        <v/>
      </c>
      <c r="CM37" s="13" t="str">
        <f t="shared" si="55"/>
        <v/>
      </c>
      <c r="CN37" s="13" t="str">
        <f t="shared" si="55"/>
        <v/>
      </c>
      <c r="CO37" s="13" t="str">
        <f t="shared" si="55"/>
        <v/>
      </c>
      <c r="CP37" s="13" t="str">
        <f t="shared" si="55"/>
        <v/>
      </c>
      <c r="CQ37" s="13" t="str">
        <f t="shared" si="55"/>
        <v/>
      </c>
      <c r="CR37" s="13" t="str">
        <f t="shared" si="55"/>
        <v/>
      </c>
      <c r="CS37" s="13" t="str">
        <f t="shared" si="55"/>
        <v/>
      </c>
      <c r="CT37" s="13" t="str">
        <f t="shared" si="55"/>
        <v/>
      </c>
      <c r="CU37" s="13" t="str">
        <f t="shared" si="55"/>
        <v/>
      </c>
      <c r="CV37" s="13" t="str">
        <f t="shared" si="55"/>
        <v/>
      </c>
      <c r="CW37" s="13" t="str">
        <f t="shared" si="55"/>
        <v/>
      </c>
      <c r="CX37" s="13" t="str">
        <f t="shared" si="55"/>
        <v/>
      </c>
      <c r="CY37" s="13" t="str">
        <f t="shared" si="55"/>
        <v/>
      </c>
      <c r="CZ37" s="13" t="str">
        <f t="shared" si="55"/>
        <v/>
      </c>
      <c r="DA37" s="13" t="str">
        <f t="shared" si="55"/>
        <v/>
      </c>
      <c r="DB37" s="13" t="str">
        <f t="shared" si="55"/>
        <v/>
      </c>
      <c r="DC37" s="13" t="str">
        <f t="shared" si="55"/>
        <v/>
      </c>
      <c r="DD37" s="13" t="str">
        <f t="shared" si="55"/>
        <v/>
      </c>
      <c r="DE37" s="13" t="str">
        <f t="shared" si="55"/>
        <v/>
      </c>
      <c r="DF37" s="13" t="str">
        <f t="shared" si="55"/>
        <v/>
      </c>
      <c r="DG37" s="13" t="str">
        <f t="shared" si="54"/>
        <v/>
      </c>
      <c r="DH37" s="13" t="str">
        <f t="shared" si="54"/>
        <v/>
      </c>
      <c r="DI37" s="13" t="str">
        <f t="shared" si="54"/>
        <v/>
      </c>
      <c r="DJ37" s="13" t="str">
        <f t="shared" si="54"/>
        <v/>
      </c>
      <c r="DK37" s="13" t="str">
        <f t="shared" si="54"/>
        <v/>
      </c>
      <c r="DL37" s="13" t="str">
        <f t="shared" si="54"/>
        <v/>
      </c>
      <c r="DM37" s="13" t="str">
        <f t="shared" si="54"/>
        <v/>
      </c>
      <c r="DN37" s="13" t="str">
        <f t="shared" si="54"/>
        <v/>
      </c>
      <c r="DO37" s="13" t="str">
        <f t="shared" si="54"/>
        <v/>
      </c>
      <c r="DP37" s="13" t="str">
        <f t="shared" si="54"/>
        <v/>
      </c>
      <c r="DQ37" s="13" t="str">
        <f t="shared" si="54"/>
        <v/>
      </c>
      <c r="DR37" s="13" t="str">
        <f t="shared" si="54"/>
        <v/>
      </c>
      <c r="DS37" s="13" t="str">
        <f t="shared" si="54"/>
        <v/>
      </c>
      <c r="DT37" s="13" t="str">
        <f t="shared" si="54"/>
        <v/>
      </c>
      <c r="DU37" s="13" t="str">
        <f t="shared" si="54"/>
        <v/>
      </c>
      <c r="DV37" s="13" t="str">
        <f t="shared" si="54"/>
        <v/>
      </c>
      <c r="DW37" s="13" t="str">
        <f t="shared" si="54"/>
        <v/>
      </c>
      <c r="DX37" s="13" t="str">
        <f t="shared" si="54"/>
        <v/>
      </c>
      <c r="DY37" s="13" t="str">
        <f t="shared" si="54"/>
        <v/>
      </c>
      <c r="DZ37" s="13" t="str">
        <f t="shared" si="54"/>
        <v/>
      </c>
      <c r="EA37" s="13" t="str">
        <f t="shared" si="54"/>
        <v/>
      </c>
      <c r="EB37" s="13" t="str">
        <f t="shared" si="54"/>
        <v/>
      </c>
      <c r="EC37" s="13" t="str">
        <f t="shared" si="54"/>
        <v/>
      </c>
      <c r="ED37" s="13" t="str">
        <f t="shared" si="54"/>
        <v/>
      </c>
      <c r="EE37" s="13" t="str">
        <f t="shared" si="54"/>
        <v/>
      </c>
      <c r="EF37" s="13" t="str">
        <f t="shared" si="54"/>
        <v/>
      </c>
      <c r="EG37" s="13" t="str">
        <f t="shared" si="54"/>
        <v/>
      </c>
      <c r="EH37" s="13" t="str">
        <f t="shared" si="54"/>
        <v/>
      </c>
      <c r="EI37" s="13" t="str">
        <f t="shared" si="54"/>
        <v/>
      </c>
      <c r="EJ37" s="13" t="str">
        <f t="shared" si="54"/>
        <v/>
      </c>
      <c r="EK37" s="13" t="str">
        <f t="shared" si="54"/>
        <v/>
      </c>
      <c r="EL37" s="13" t="str">
        <f t="shared" si="54"/>
        <v/>
      </c>
      <c r="EM37" s="13" t="str">
        <f t="shared" si="54"/>
        <v/>
      </c>
      <c r="EN37" s="13" t="str">
        <f t="shared" si="54"/>
        <v/>
      </c>
      <c r="EO37" s="13" t="str">
        <f t="shared" si="54"/>
        <v/>
      </c>
      <c r="EP37" s="13" t="str">
        <f t="shared" si="54"/>
        <v/>
      </c>
      <c r="EQ37" s="13" t="str">
        <f t="shared" si="54"/>
        <v/>
      </c>
      <c r="ER37" s="13" t="str">
        <f t="shared" si="54"/>
        <v/>
      </c>
      <c r="ES37" s="13" t="str">
        <f t="shared" si="54"/>
        <v/>
      </c>
      <c r="ET37" s="13" t="str">
        <f t="shared" si="54"/>
        <v/>
      </c>
      <c r="EU37" s="13" t="str">
        <f t="shared" si="54"/>
        <v/>
      </c>
      <c r="EV37" s="13" t="str">
        <f t="shared" si="54"/>
        <v/>
      </c>
      <c r="EW37" s="13" t="str">
        <f t="shared" si="54"/>
        <v/>
      </c>
      <c r="EX37" s="13" t="str">
        <f t="shared" si="54"/>
        <v/>
      </c>
      <c r="EY37" s="13" t="str">
        <f t="shared" si="54"/>
        <v/>
      </c>
      <c r="EZ37" s="13" t="str">
        <f t="shared" si="54"/>
        <v/>
      </c>
      <c r="FA37" s="13" t="str">
        <f t="shared" si="54"/>
        <v/>
      </c>
      <c r="FB37" s="13" t="str">
        <f t="shared" si="54"/>
        <v/>
      </c>
      <c r="FC37" s="13" t="str">
        <f t="shared" si="54"/>
        <v/>
      </c>
      <c r="FD37" s="13" t="str">
        <f t="shared" si="54"/>
        <v/>
      </c>
      <c r="FE37" s="13" t="str">
        <f t="shared" si="54"/>
        <v/>
      </c>
      <c r="FF37" s="13" t="str">
        <f t="shared" si="54"/>
        <v/>
      </c>
      <c r="FG37" s="13" t="str">
        <f t="shared" si="54"/>
        <v/>
      </c>
      <c r="FH37" s="13" t="str">
        <f t="shared" si="54"/>
        <v/>
      </c>
      <c r="FI37" s="13" t="str">
        <f t="shared" si="54"/>
        <v/>
      </c>
      <c r="FJ37" s="13" t="str">
        <f t="shared" si="54"/>
        <v/>
      </c>
      <c r="FK37" s="13" t="str">
        <f t="shared" si="54"/>
        <v/>
      </c>
      <c r="FL37" s="13" t="str">
        <f t="shared" si="54"/>
        <v/>
      </c>
      <c r="FM37" s="13" t="str">
        <f t="shared" si="54"/>
        <v/>
      </c>
      <c r="FN37" s="13" t="str">
        <f t="shared" si="54"/>
        <v/>
      </c>
      <c r="FO37" s="13" t="str">
        <f t="shared" si="54"/>
        <v/>
      </c>
      <c r="FP37" s="13" t="str">
        <f t="shared" si="54"/>
        <v/>
      </c>
      <c r="FQ37" s="13" t="str">
        <f t="shared" si="54"/>
        <v/>
      </c>
      <c r="FR37" s="13" t="str">
        <f t="shared" si="38"/>
        <v/>
      </c>
      <c r="FS37" s="13" t="str">
        <f t="shared" si="51"/>
        <v/>
      </c>
      <c r="FT37" s="13" t="str">
        <f t="shared" si="51"/>
        <v/>
      </c>
      <c r="FU37" s="13" t="str">
        <f t="shared" si="51"/>
        <v/>
      </c>
      <c r="FV37" s="13" t="str">
        <f t="shared" si="51"/>
        <v/>
      </c>
      <c r="FW37" s="13" t="str">
        <f t="shared" si="51"/>
        <v/>
      </c>
      <c r="FX37" s="13" t="str">
        <f t="shared" si="51"/>
        <v/>
      </c>
      <c r="FY37" s="13" t="str">
        <f t="shared" si="51"/>
        <v/>
      </c>
      <c r="FZ37" s="13" t="str">
        <f t="shared" si="51"/>
        <v/>
      </c>
      <c r="GA37" s="13" t="str">
        <f t="shared" si="51"/>
        <v/>
      </c>
      <c r="GB37" s="13" t="str">
        <f t="shared" si="51"/>
        <v/>
      </c>
      <c r="GC37" s="13" t="str">
        <f t="shared" si="51"/>
        <v/>
      </c>
      <c r="GD37" s="13" t="str">
        <f t="shared" si="51"/>
        <v/>
      </c>
      <c r="GE37" s="13" t="str">
        <f t="shared" si="51"/>
        <v/>
      </c>
      <c r="GF37" s="13" t="str">
        <f t="shared" si="51"/>
        <v/>
      </c>
      <c r="GG37" s="13" t="str">
        <f t="shared" si="51"/>
        <v/>
      </c>
      <c r="GH37" s="13" t="str">
        <f t="shared" si="51"/>
        <v/>
      </c>
      <c r="GI37" s="13" t="str">
        <f t="shared" si="51"/>
        <v/>
      </c>
      <c r="GJ37" s="13" t="str">
        <f t="shared" si="51"/>
        <v/>
      </c>
      <c r="GK37" s="13" t="str">
        <f t="shared" si="51"/>
        <v/>
      </c>
      <c r="GL37" s="13" t="str">
        <f t="shared" si="51"/>
        <v/>
      </c>
      <c r="GM37" s="13" t="str">
        <f t="shared" si="51"/>
        <v/>
      </c>
      <c r="GN37" s="13" t="str">
        <f t="shared" si="51"/>
        <v/>
      </c>
      <c r="GO37" s="13" t="str">
        <f t="shared" si="51"/>
        <v/>
      </c>
      <c r="GP37" s="13" t="str">
        <f t="shared" si="51"/>
        <v/>
      </c>
      <c r="GQ37" s="13" t="str">
        <f t="shared" si="51"/>
        <v/>
      </c>
      <c r="GR37" s="13" t="str">
        <f t="shared" si="51"/>
        <v/>
      </c>
      <c r="GS37" s="13" t="str">
        <f t="shared" si="51"/>
        <v/>
      </c>
      <c r="GT37" s="13" t="str">
        <f t="shared" si="51"/>
        <v/>
      </c>
      <c r="GU37" s="13" t="str">
        <f t="shared" si="51"/>
        <v/>
      </c>
      <c r="GV37" s="13" t="str">
        <f t="shared" si="51"/>
        <v/>
      </c>
      <c r="GW37" s="13" t="str">
        <f t="shared" si="51"/>
        <v/>
      </c>
      <c r="GX37" s="13" t="str">
        <f t="shared" si="51"/>
        <v/>
      </c>
      <c r="GY37" s="13" t="str">
        <f t="shared" si="51"/>
        <v/>
      </c>
      <c r="GZ37" s="13" t="str">
        <f t="shared" si="51"/>
        <v/>
      </c>
      <c r="HA37" s="13" t="str">
        <f t="shared" si="51"/>
        <v/>
      </c>
      <c r="HB37" s="13" t="str">
        <f t="shared" si="51"/>
        <v/>
      </c>
      <c r="HC37" s="13" t="str">
        <f t="shared" si="51"/>
        <v/>
      </c>
      <c r="HD37" s="13" t="str">
        <f t="shared" si="51"/>
        <v/>
      </c>
      <c r="HE37" s="13" t="str">
        <f t="shared" si="51"/>
        <v/>
      </c>
      <c r="HF37" s="13" t="str">
        <f t="shared" si="51"/>
        <v/>
      </c>
      <c r="HG37" s="13" t="str">
        <f t="shared" si="51"/>
        <v/>
      </c>
      <c r="HH37" s="13" t="str">
        <f t="shared" si="51"/>
        <v/>
      </c>
      <c r="HI37" s="13" t="str">
        <f t="shared" si="51"/>
        <v/>
      </c>
      <c r="HJ37" s="13" t="str">
        <f t="shared" si="51"/>
        <v/>
      </c>
      <c r="HK37" s="13" t="str">
        <f t="shared" si="51"/>
        <v/>
      </c>
      <c r="HL37" s="13" t="str">
        <f t="shared" si="51"/>
        <v/>
      </c>
      <c r="HM37" s="13" t="str">
        <f t="shared" si="51"/>
        <v/>
      </c>
      <c r="HN37" s="13" t="str">
        <f t="shared" si="51"/>
        <v/>
      </c>
      <c r="HO37" s="13" t="str">
        <f t="shared" si="51"/>
        <v/>
      </c>
      <c r="HP37" s="13" t="str">
        <f t="shared" si="51"/>
        <v/>
      </c>
      <c r="HQ37" s="13" t="str">
        <f t="shared" si="51"/>
        <v/>
      </c>
      <c r="HR37" s="13" t="str">
        <f t="shared" si="51"/>
        <v/>
      </c>
      <c r="HS37" s="13" t="str">
        <f t="shared" si="51"/>
        <v/>
      </c>
      <c r="HT37" s="13" t="str">
        <f t="shared" si="51"/>
        <v/>
      </c>
      <c r="HU37" s="13" t="str">
        <f t="shared" si="51"/>
        <v/>
      </c>
      <c r="HV37" s="13" t="str">
        <f t="shared" si="51"/>
        <v/>
      </c>
      <c r="HW37" s="13" t="str">
        <f t="shared" si="51"/>
        <v/>
      </c>
      <c r="HX37" s="13" t="str">
        <f t="shared" si="51"/>
        <v/>
      </c>
      <c r="HY37" s="13" t="str">
        <f t="shared" si="51"/>
        <v/>
      </c>
      <c r="HZ37" s="13" t="str">
        <f t="shared" si="51"/>
        <v/>
      </c>
      <c r="IA37" s="13" t="str">
        <f t="shared" si="51"/>
        <v/>
      </c>
      <c r="IB37" s="13" t="str">
        <f t="shared" si="51"/>
        <v/>
      </c>
      <c r="IC37" s="13" t="str">
        <f t="shared" si="51"/>
        <v/>
      </c>
      <c r="ID37" s="13" t="str">
        <f t="shared" ref="ID37:KO40" si="56">IF(ID66&gt;0,TEXT(ID$50,"R"&amp;0)&amp;", ","")</f>
        <v/>
      </c>
      <c r="IE37" s="13" t="str">
        <f t="shared" si="56"/>
        <v/>
      </c>
      <c r="IF37" s="13" t="str">
        <f t="shared" si="56"/>
        <v/>
      </c>
      <c r="IG37" s="13" t="str">
        <f t="shared" si="56"/>
        <v/>
      </c>
      <c r="IH37" s="13" t="str">
        <f t="shared" si="56"/>
        <v/>
      </c>
      <c r="II37" s="13" t="str">
        <f t="shared" si="56"/>
        <v/>
      </c>
      <c r="IJ37" s="13" t="str">
        <f t="shared" si="56"/>
        <v/>
      </c>
      <c r="IK37" s="13" t="str">
        <f t="shared" si="56"/>
        <v/>
      </c>
      <c r="IL37" s="13" t="str">
        <f t="shared" si="56"/>
        <v/>
      </c>
      <c r="IM37" s="13" t="str">
        <f t="shared" si="56"/>
        <v/>
      </c>
      <c r="IN37" s="13" t="str">
        <f t="shared" si="56"/>
        <v/>
      </c>
      <c r="IO37" s="13" t="str">
        <f t="shared" si="56"/>
        <v/>
      </c>
      <c r="IP37" s="13" t="str">
        <f t="shared" si="56"/>
        <v/>
      </c>
      <c r="IQ37" s="13" t="str">
        <f t="shared" si="56"/>
        <v/>
      </c>
      <c r="IR37" s="13" t="str">
        <f t="shared" si="56"/>
        <v/>
      </c>
      <c r="IS37" s="13" t="str">
        <f t="shared" si="56"/>
        <v/>
      </c>
      <c r="IT37" s="13" t="str">
        <f t="shared" si="56"/>
        <v/>
      </c>
      <c r="IU37" s="13" t="str">
        <f t="shared" si="56"/>
        <v/>
      </c>
      <c r="IV37" s="13" t="str">
        <f t="shared" si="56"/>
        <v/>
      </c>
      <c r="IW37" s="13" t="str">
        <f t="shared" si="56"/>
        <v/>
      </c>
      <c r="IX37" s="13" t="str">
        <f t="shared" si="56"/>
        <v/>
      </c>
      <c r="IY37" s="13" t="str">
        <f t="shared" si="56"/>
        <v/>
      </c>
      <c r="IZ37" s="13" t="str">
        <f t="shared" si="56"/>
        <v/>
      </c>
      <c r="JA37" s="13" t="str">
        <f t="shared" si="56"/>
        <v/>
      </c>
      <c r="JB37" s="13" t="str">
        <f t="shared" si="56"/>
        <v/>
      </c>
      <c r="JC37" s="13" t="str">
        <f t="shared" si="56"/>
        <v/>
      </c>
      <c r="JD37" s="13" t="str">
        <f t="shared" si="56"/>
        <v/>
      </c>
      <c r="JE37" s="13" t="str">
        <f t="shared" si="56"/>
        <v/>
      </c>
      <c r="JF37" s="13" t="str">
        <f t="shared" si="56"/>
        <v/>
      </c>
      <c r="JG37" s="13" t="str">
        <f t="shared" si="56"/>
        <v/>
      </c>
      <c r="JH37" s="13" t="str">
        <f t="shared" si="56"/>
        <v/>
      </c>
      <c r="JI37" s="13" t="str">
        <f t="shared" si="56"/>
        <v/>
      </c>
      <c r="JJ37" s="13" t="str">
        <f t="shared" si="56"/>
        <v/>
      </c>
      <c r="JK37" s="13" t="str">
        <f t="shared" si="56"/>
        <v/>
      </c>
      <c r="JL37" s="13" t="str">
        <f t="shared" si="56"/>
        <v/>
      </c>
      <c r="JM37" s="13" t="str">
        <f t="shared" si="56"/>
        <v/>
      </c>
      <c r="JN37" s="13" t="str">
        <f t="shared" si="56"/>
        <v/>
      </c>
      <c r="JO37" s="13" t="str">
        <f t="shared" si="56"/>
        <v/>
      </c>
      <c r="JP37" s="13" t="str">
        <f t="shared" si="56"/>
        <v/>
      </c>
      <c r="JQ37" s="13" t="str">
        <f t="shared" si="56"/>
        <v/>
      </c>
      <c r="JR37" s="13" t="str">
        <f t="shared" si="56"/>
        <v/>
      </c>
      <c r="JS37" s="13" t="str">
        <f t="shared" si="56"/>
        <v/>
      </c>
      <c r="JT37" s="13" t="str">
        <f t="shared" si="56"/>
        <v/>
      </c>
      <c r="JU37" s="13" t="str">
        <f t="shared" si="56"/>
        <v/>
      </c>
      <c r="JV37" s="13" t="str">
        <f t="shared" si="56"/>
        <v/>
      </c>
      <c r="JW37" s="13" t="str">
        <f t="shared" si="56"/>
        <v/>
      </c>
      <c r="JX37" s="13" t="str">
        <f t="shared" si="56"/>
        <v/>
      </c>
      <c r="JY37" s="13" t="str">
        <f t="shared" si="56"/>
        <v/>
      </c>
      <c r="JZ37" s="13" t="str">
        <f t="shared" si="56"/>
        <v/>
      </c>
      <c r="KA37" s="13" t="str">
        <f t="shared" si="56"/>
        <v/>
      </c>
      <c r="KB37" s="13" t="str">
        <f t="shared" si="56"/>
        <v/>
      </c>
      <c r="KC37" s="13" t="str">
        <f t="shared" si="56"/>
        <v/>
      </c>
      <c r="KD37" s="13" t="str">
        <f t="shared" si="56"/>
        <v/>
      </c>
      <c r="KE37" s="13" t="str">
        <f t="shared" si="56"/>
        <v/>
      </c>
      <c r="KF37" s="13" t="str">
        <f t="shared" si="56"/>
        <v/>
      </c>
      <c r="KG37" s="13" t="str">
        <f t="shared" si="56"/>
        <v/>
      </c>
      <c r="KH37" s="13" t="str">
        <f t="shared" si="56"/>
        <v/>
      </c>
      <c r="KI37" s="13" t="str">
        <f t="shared" si="56"/>
        <v/>
      </c>
      <c r="KJ37" s="13" t="str">
        <f t="shared" si="56"/>
        <v/>
      </c>
      <c r="KK37" s="13" t="str">
        <f t="shared" si="56"/>
        <v/>
      </c>
      <c r="KL37" s="13" t="str">
        <f t="shared" si="56"/>
        <v/>
      </c>
      <c r="KM37" s="13" t="str">
        <f t="shared" si="56"/>
        <v/>
      </c>
      <c r="KN37" s="13" t="str">
        <f t="shared" si="56"/>
        <v/>
      </c>
      <c r="KO37" s="13" t="str">
        <f t="shared" si="56"/>
        <v/>
      </c>
      <c r="KP37" s="13" t="str">
        <f t="shared" si="47"/>
        <v/>
      </c>
      <c r="KQ37" s="13" t="str">
        <f t="shared" si="47"/>
        <v/>
      </c>
      <c r="KR37" s="13" t="str">
        <f t="shared" si="47"/>
        <v/>
      </c>
      <c r="KS37" s="13" t="str">
        <f t="shared" si="44"/>
        <v/>
      </c>
      <c r="KT37" s="13" t="str">
        <f t="shared" si="48"/>
        <v/>
      </c>
      <c r="KU37" s="13" t="str">
        <f t="shared" si="48"/>
        <v/>
      </c>
      <c r="KV37" s="13" t="str">
        <f t="shared" si="48"/>
        <v/>
      </c>
      <c r="KW37" s="13" t="str">
        <f t="shared" si="48"/>
        <v/>
      </c>
      <c r="KX37" s="13" t="str">
        <f t="shared" si="48"/>
        <v/>
      </c>
      <c r="KY37" s="13" t="str">
        <f t="shared" si="48"/>
        <v/>
      </c>
      <c r="KZ37" s="13" t="str">
        <f t="shared" si="48"/>
        <v/>
      </c>
      <c r="LA37" s="13" t="str">
        <f t="shared" si="48"/>
        <v/>
      </c>
      <c r="LB37" s="13" t="str">
        <f t="shared" si="48"/>
        <v/>
      </c>
      <c r="LC37" s="13" t="str">
        <f t="shared" si="48"/>
        <v/>
      </c>
      <c r="LD37" s="13" t="str">
        <f t="shared" si="48"/>
        <v/>
      </c>
      <c r="LE37" s="13" t="str">
        <f t="shared" si="48"/>
        <v/>
      </c>
      <c r="LF37" s="13" t="str">
        <f t="shared" si="48"/>
        <v/>
      </c>
      <c r="LG37" s="13" t="str">
        <f t="shared" si="48"/>
        <v/>
      </c>
      <c r="LH37" s="13" t="str">
        <f t="shared" si="48"/>
        <v/>
      </c>
      <c r="LI37" s="13" t="str">
        <f t="shared" ref="LI37:MG37" si="57">IF(LI66&gt;0,TEXT(LI$50,"R"&amp;0)&amp;", ","")</f>
        <v/>
      </c>
      <c r="LJ37" s="13" t="str">
        <f t="shared" si="57"/>
        <v/>
      </c>
      <c r="LK37" s="13" t="str">
        <f t="shared" si="57"/>
        <v/>
      </c>
      <c r="LL37" s="13" t="str">
        <f t="shared" si="57"/>
        <v/>
      </c>
      <c r="LM37" s="13" t="str">
        <f t="shared" si="57"/>
        <v/>
      </c>
      <c r="LN37" s="13" t="str">
        <f t="shared" si="57"/>
        <v/>
      </c>
      <c r="LO37" s="13" t="str">
        <f t="shared" si="57"/>
        <v/>
      </c>
      <c r="LP37" s="13" t="str">
        <f t="shared" si="57"/>
        <v/>
      </c>
      <c r="LQ37" s="13" t="str">
        <f t="shared" si="57"/>
        <v/>
      </c>
      <c r="LR37" s="13" t="str">
        <f t="shared" si="57"/>
        <v/>
      </c>
      <c r="LS37" s="13" t="str">
        <f t="shared" si="57"/>
        <v/>
      </c>
      <c r="LT37" s="13" t="str">
        <f t="shared" si="57"/>
        <v/>
      </c>
      <c r="LU37" s="13" t="str">
        <f t="shared" si="57"/>
        <v/>
      </c>
      <c r="LV37" s="13" t="str">
        <f t="shared" si="57"/>
        <v/>
      </c>
      <c r="LW37" s="13" t="str">
        <f t="shared" si="57"/>
        <v/>
      </c>
      <c r="LX37" s="13" t="str">
        <f t="shared" si="57"/>
        <v/>
      </c>
      <c r="LY37" s="13" t="str">
        <f t="shared" si="57"/>
        <v/>
      </c>
      <c r="LZ37" s="13" t="str">
        <f t="shared" si="57"/>
        <v/>
      </c>
      <c r="MA37" s="13" t="str">
        <f t="shared" si="57"/>
        <v/>
      </c>
      <c r="MB37" s="13" t="str">
        <f t="shared" si="57"/>
        <v/>
      </c>
      <c r="MC37" s="13" t="str">
        <f t="shared" si="57"/>
        <v/>
      </c>
      <c r="MD37" s="13" t="str">
        <f t="shared" si="57"/>
        <v/>
      </c>
      <c r="ME37" s="13" t="str">
        <f t="shared" si="57"/>
        <v/>
      </c>
      <c r="MF37" s="13" t="str">
        <f t="shared" si="57"/>
        <v/>
      </c>
      <c r="MG37" s="13" t="str">
        <f t="shared" si="57"/>
        <v/>
      </c>
    </row>
    <row r="38" spans="1:345" x14ac:dyDescent="0.2">
      <c r="A38" s="32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V38" s="8" t="str">
        <f t="shared" si="19"/>
        <v/>
      </c>
      <c r="W38" s="38" t="e">
        <f t="shared" si="7"/>
        <v>#N/A</v>
      </c>
      <c r="X38" s="38" t="e">
        <f t="shared" si="8"/>
        <v>#N/A</v>
      </c>
      <c r="Y38" s="45" t="str">
        <f t="shared" si="9"/>
        <v/>
      </c>
      <c r="Z38" s="40" t="str">
        <f t="shared" si="10"/>
        <v/>
      </c>
      <c r="AA38" s="49" t="e">
        <f t="shared" si="11"/>
        <v>#N/A</v>
      </c>
      <c r="AB38" s="40" t="str">
        <f t="shared" si="12"/>
        <v/>
      </c>
      <c r="AC38" s="49" t="e">
        <f t="shared" si="13"/>
        <v>#N/A</v>
      </c>
      <c r="AE38" s="9" t="str">
        <f t="shared" si="20"/>
        <v/>
      </c>
      <c r="AF38" s="9" t="str">
        <f t="shared" si="21"/>
        <v/>
      </c>
      <c r="AG38" s="9" t="str">
        <f t="shared" si="22"/>
        <v/>
      </c>
      <c r="AH38" s="9" t="str">
        <f t="shared" si="23"/>
        <v/>
      </c>
      <c r="AI38" s="9" t="str">
        <f t="shared" si="24"/>
        <v/>
      </c>
      <c r="AJ38" s="9" t="str">
        <f t="shared" si="25"/>
        <v/>
      </c>
      <c r="AK38" s="9" t="str">
        <f t="shared" si="26"/>
        <v/>
      </c>
      <c r="AL38" s="9" t="str">
        <f t="shared" si="27"/>
        <v/>
      </c>
      <c r="AM38" s="9" t="str">
        <f t="shared" si="28"/>
        <v/>
      </c>
      <c r="AN38" s="9" t="str">
        <f t="shared" si="29"/>
        <v/>
      </c>
      <c r="AO38" s="10" t="str">
        <f t="shared" si="30"/>
        <v/>
      </c>
      <c r="AP38" s="11">
        <f t="shared" si="31"/>
        <v>0</v>
      </c>
      <c r="AR38" s="13" t="str">
        <f t="shared" si="52"/>
        <v/>
      </c>
      <c r="AS38" s="13" t="str">
        <f t="shared" si="53"/>
        <v/>
      </c>
      <c r="AT38" s="13" t="str">
        <f t="shared" si="33"/>
        <v/>
      </c>
      <c r="AU38" s="13" t="str">
        <f t="shared" si="55"/>
        <v/>
      </c>
      <c r="AV38" s="13" t="str">
        <f t="shared" si="55"/>
        <v/>
      </c>
      <c r="AW38" s="13" t="str">
        <f t="shared" si="55"/>
        <v/>
      </c>
      <c r="AX38" s="13" t="str">
        <f t="shared" si="55"/>
        <v/>
      </c>
      <c r="AY38" s="13" t="str">
        <f t="shared" si="55"/>
        <v/>
      </c>
      <c r="AZ38" s="13" t="str">
        <f t="shared" si="55"/>
        <v/>
      </c>
      <c r="BA38" s="13" t="str">
        <f t="shared" si="55"/>
        <v/>
      </c>
      <c r="BB38" s="13" t="str">
        <f t="shared" si="55"/>
        <v/>
      </c>
      <c r="BC38" s="13" t="str">
        <f t="shared" si="55"/>
        <v/>
      </c>
      <c r="BD38" s="13" t="str">
        <f t="shared" si="55"/>
        <v/>
      </c>
      <c r="BE38" s="13" t="str">
        <f t="shared" si="55"/>
        <v/>
      </c>
      <c r="BF38" s="13" t="str">
        <f t="shared" si="55"/>
        <v/>
      </c>
      <c r="BG38" s="13" t="str">
        <f t="shared" si="55"/>
        <v/>
      </c>
      <c r="BH38" s="13" t="str">
        <f t="shared" si="55"/>
        <v/>
      </c>
      <c r="BI38" s="13" t="str">
        <f t="shared" si="55"/>
        <v/>
      </c>
      <c r="BJ38" s="13" t="str">
        <f t="shared" si="55"/>
        <v/>
      </c>
      <c r="BK38" s="13" t="str">
        <f t="shared" si="55"/>
        <v/>
      </c>
      <c r="BL38" s="13" t="str">
        <f t="shared" si="55"/>
        <v/>
      </c>
      <c r="BM38" s="13" t="str">
        <f t="shared" si="55"/>
        <v/>
      </c>
      <c r="BN38" s="13" t="str">
        <f t="shared" si="55"/>
        <v/>
      </c>
      <c r="BO38" s="13" t="str">
        <f t="shared" si="55"/>
        <v/>
      </c>
      <c r="BP38" s="13" t="str">
        <f t="shared" si="55"/>
        <v/>
      </c>
      <c r="BQ38" s="13" t="str">
        <f t="shared" si="55"/>
        <v/>
      </c>
      <c r="BR38" s="13" t="str">
        <f t="shared" si="55"/>
        <v/>
      </c>
      <c r="BS38" s="13" t="str">
        <f t="shared" si="55"/>
        <v/>
      </c>
      <c r="BT38" s="13" t="str">
        <f t="shared" si="55"/>
        <v/>
      </c>
      <c r="BU38" s="13" t="str">
        <f t="shared" si="55"/>
        <v/>
      </c>
      <c r="BV38" s="13" t="str">
        <f t="shared" si="55"/>
        <v/>
      </c>
      <c r="BW38" s="13" t="str">
        <f t="shared" si="55"/>
        <v/>
      </c>
      <c r="BX38" s="13" t="str">
        <f t="shared" si="55"/>
        <v/>
      </c>
      <c r="BY38" s="13" t="str">
        <f t="shared" si="55"/>
        <v/>
      </c>
      <c r="BZ38" s="13" t="str">
        <f t="shared" si="55"/>
        <v/>
      </c>
      <c r="CA38" s="13" t="str">
        <f t="shared" si="55"/>
        <v/>
      </c>
      <c r="CB38" s="13" t="str">
        <f t="shared" si="55"/>
        <v/>
      </c>
      <c r="CC38" s="13" t="str">
        <f t="shared" si="55"/>
        <v/>
      </c>
      <c r="CD38" s="13" t="str">
        <f t="shared" si="55"/>
        <v/>
      </c>
      <c r="CE38" s="13" t="str">
        <f t="shared" si="55"/>
        <v/>
      </c>
      <c r="CF38" s="13" t="str">
        <f t="shared" si="55"/>
        <v/>
      </c>
      <c r="CG38" s="13" t="str">
        <f t="shared" si="55"/>
        <v/>
      </c>
      <c r="CH38" s="13" t="str">
        <f t="shared" si="55"/>
        <v/>
      </c>
      <c r="CI38" s="13" t="str">
        <f t="shared" si="55"/>
        <v/>
      </c>
      <c r="CJ38" s="13" t="str">
        <f t="shared" si="55"/>
        <v/>
      </c>
      <c r="CK38" s="13" t="str">
        <f t="shared" si="55"/>
        <v/>
      </c>
      <c r="CL38" s="13" t="str">
        <f t="shared" si="55"/>
        <v/>
      </c>
      <c r="CM38" s="13" t="str">
        <f t="shared" si="55"/>
        <v/>
      </c>
      <c r="CN38" s="13" t="str">
        <f t="shared" si="55"/>
        <v/>
      </c>
      <c r="CO38" s="13" t="str">
        <f t="shared" si="55"/>
        <v/>
      </c>
      <c r="CP38" s="13" t="str">
        <f t="shared" si="55"/>
        <v/>
      </c>
      <c r="CQ38" s="13" t="str">
        <f t="shared" si="55"/>
        <v/>
      </c>
      <c r="CR38" s="13" t="str">
        <f t="shared" si="55"/>
        <v/>
      </c>
      <c r="CS38" s="13" t="str">
        <f t="shared" si="55"/>
        <v/>
      </c>
      <c r="CT38" s="13" t="str">
        <f t="shared" si="55"/>
        <v/>
      </c>
      <c r="CU38" s="13" t="str">
        <f t="shared" si="55"/>
        <v/>
      </c>
      <c r="CV38" s="13" t="str">
        <f t="shared" si="55"/>
        <v/>
      </c>
      <c r="CW38" s="13" t="str">
        <f t="shared" si="55"/>
        <v/>
      </c>
      <c r="CX38" s="13" t="str">
        <f t="shared" si="55"/>
        <v/>
      </c>
      <c r="CY38" s="13" t="str">
        <f t="shared" si="55"/>
        <v/>
      </c>
      <c r="CZ38" s="13" t="str">
        <f t="shared" si="55"/>
        <v/>
      </c>
      <c r="DA38" s="13" t="str">
        <f t="shared" si="55"/>
        <v/>
      </c>
      <c r="DB38" s="13" t="str">
        <f t="shared" si="55"/>
        <v/>
      </c>
      <c r="DC38" s="13" t="str">
        <f t="shared" si="55"/>
        <v/>
      </c>
      <c r="DD38" s="13" t="str">
        <f t="shared" si="55"/>
        <v/>
      </c>
      <c r="DE38" s="13" t="str">
        <f t="shared" si="55"/>
        <v/>
      </c>
      <c r="DF38" s="13" t="str">
        <f t="shared" si="55"/>
        <v/>
      </c>
      <c r="DG38" s="13" t="str">
        <f t="shared" si="54"/>
        <v/>
      </c>
      <c r="DH38" s="13" t="str">
        <f t="shared" si="54"/>
        <v/>
      </c>
      <c r="DI38" s="13" t="str">
        <f t="shared" si="54"/>
        <v/>
      </c>
      <c r="DJ38" s="13" t="str">
        <f t="shared" si="54"/>
        <v/>
      </c>
      <c r="DK38" s="13" t="str">
        <f t="shared" si="54"/>
        <v/>
      </c>
      <c r="DL38" s="13" t="str">
        <f t="shared" si="54"/>
        <v/>
      </c>
      <c r="DM38" s="13" t="str">
        <f t="shared" si="54"/>
        <v/>
      </c>
      <c r="DN38" s="13" t="str">
        <f t="shared" si="54"/>
        <v/>
      </c>
      <c r="DO38" s="13" t="str">
        <f t="shared" si="54"/>
        <v/>
      </c>
      <c r="DP38" s="13" t="str">
        <f t="shared" si="54"/>
        <v/>
      </c>
      <c r="DQ38" s="13" t="str">
        <f t="shared" si="54"/>
        <v/>
      </c>
      <c r="DR38" s="13" t="str">
        <f t="shared" si="54"/>
        <v/>
      </c>
      <c r="DS38" s="13" t="str">
        <f t="shared" si="54"/>
        <v/>
      </c>
      <c r="DT38" s="13" t="str">
        <f t="shared" si="54"/>
        <v/>
      </c>
      <c r="DU38" s="13" t="str">
        <f t="shared" si="54"/>
        <v/>
      </c>
      <c r="DV38" s="13" t="str">
        <f t="shared" si="54"/>
        <v/>
      </c>
      <c r="DW38" s="13" t="str">
        <f t="shared" si="54"/>
        <v/>
      </c>
      <c r="DX38" s="13" t="str">
        <f t="shared" si="54"/>
        <v/>
      </c>
      <c r="DY38" s="13" t="str">
        <f t="shared" si="54"/>
        <v/>
      </c>
      <c r="DZ38" s="13" t="str">
        <f t="shared" si="54"/>
        <v/>
      </c>
      <c r="EA38" s="13" t="str">
        <f t="shared" si="54"/>
        <v/>
      </c>
      <c r="EB38" s="13" t="str">
        <f t="shared" si="54"/>
        <v/>
      </c>
      <c r="EC38" s="13" t="str">
        <f t="shared" si="54"/>
        <v/>
      </c>
      <c r="ED38" s="13" t="str">
        <f t="shared" si="54"/>
        <v/>
      </c>
      <c r="EE38" s="13" t="str">
        <f t="shared" si="54"/>
        <v/>
      </c>
      <c r="EF38" s="13" t="str">
        <f t="shared" si="54"/>
        <v/>
      </c>
      <c r="EG38" s="13" t="str">
        <f t="shared" si="54"/>
        <v/>
      </c>
      <c r="EH38" s="13" t="str">
        <f t="shared" si="54"/>
        <v/>
      </c>
      <c r="EI38" s="13" t="str">
        <f t="shared" si="54"/>
        <v/>
      </c>
      <c r="EJ38" s="13" t="str">
        <f t="shared" si="54"/>
        <v/>
      </c>
      <c r="EK38" s="13" t="str">
        <f t="shared" si="54"/>
        <v/>
      </c>
      <c r="EL38" s="13" t="str">
        <f t="shared" si="54"/>
        <v/>
      </c>
      <c r="EM38" s="13" t="str">
        <f t="shared" si="54"/>
        <v/>
      </c>
      <c r="EN38" s="13" t="str">
        <f t="shared" si="54"/>
        <v/>
      </c>
      <c r="EO38" s="13" t="str">
        <f t="shared" si="54"/>
        <v/>
      </c>
      <c r="EP38" s="13" t="str">
        <f t="shared" si="54"/>
        <v/>
      </c>
      <c r="EQ38" s="13" t="str">
        <f t="shared" si="54"/>
        <v/>
      </c>
      <c r="ER38" s="13" t="str">
        <f t="shared" si="54"/>
        <v/>
      </c>
      <c r="ES38" s="13" t="str">
        <f t="shared" si="54"/>
        <v/>
      </c>
      <c r="ET38" s="13" t="str">
        <f t="shared" si="54"/>
        <v/>
      </c>
      <c r="EU38" s="13" t="str">
        <f t="shared" si="54"/>
        <v/>
      </c>
      <c r="EV38" s="13" t="str">
        <f t="shared" si="54"/>
        <v/>
      </c>
      <c r="EW38" s="13" t="str">
        <f t="shared" si="54"/>
        <v/>
      </c>
      <c r="EX38" s="13" t="str">
        <f t="shared" si="54"/>
        <v/>
      </c>
      <c r="EY38" s="13" t="str">
        <f t="shared" si="54"/>
        <v/>
      </c>
      <c r="EZ38" s="13" t="str">
        <f t="shared" si="54"/>
        <v/>
      </c>
      <c r="FA38" s="13" t="str">
        <f t="shared" si="54"/>
        <v/>
      </c>
      <c r="FB38" s="13" t="str">
        <f t="shared" si="54"/>
        <v/>
      </c>
      <c r="FC38" s="13" t="str">
        <f t="shared" si="54"/>
        <v/>
      </c>
      <c r="FD38" s="13" t="str">
        <f t="shared" si="54"/>
        <v/>
      </c>
      <c r="FE38" s="13" t="str">
        <f t="shared" si="54"/>
        <v/>
      </c>
      <c r="FF38" s="13" t="str">
        <f t="shared" si="54"/>
        <v/>
      </c>
      <c r="FG38" s="13" t="str">
        <f t="shared" si="54"/>
        <v/>
      </c>
      <c r="FH38" s="13" t="str">
        <f t="shared" si="54"/>
        <v/>
      </c>
      <c r="FI38" s="13" t="str">
        <f t="shared" si="54"/>
        <v/>
      </c>
      <c r="FJ38" s="13" t="str">
        <f t="shared" si="54"/>
        <v/>
      </c>
      <c r="FK38" s="13" t="str">
        <f t="shared" si="54"/>
        <v/>
      </c>
      <c r="FL38" s="13" t="str">
        <f t="shared" si="54"/>
        <v/>
      </c>
      <c r="FM38" s="13" t="str">
        <f t="shared" si="54"/>
        <v/>
      </c>
      <c r="FN38" s="13" t="str">
        <f t="shared" si="54"/>
        <v/>
      </c>
      <c r="FO38" s="13" t="str">
        <f t="shared" si="54"/>
        <v/>
      </c>
      <c r="FP38" s="13" t="str">
        <f t="shared" si="54"/>
        <v/>
      </c>
      <c r="FQ38" s="13" t="str">
        <f t="shared" si="54"/>
        <v/>
      </c>
      <c r="FR38" s="13" t="str">
        <f t="shared" si="38"/>
        <v/>
      </c>
      <c r="FS38" s="13" t="str">
        <f t="shared" ref="FS38:ID41" si="58">IF(FS67&gt;0,TEXT(FS$50,"R"&amp;0)&amp;", ","")</f>
        <v/>
      </c>
      <c r="FT38" s="13" t="str">
        <f t="shared" si="58"/>
        <v/>
      </c>
      <c r="FU38" s="13" t="str">
        <f t="shared" si="58"/>
        <v/>
      </c>
      <c r="FV38" s="13" t="str">
        <f t="shared" si="58"/>
        <v/>
      </c>
      <c r="FW38" s="13" t="str">
        <f t="shared" si="58"/>
        <v/>
      </c>
      <c r="FX38" s="13" t="str">
        <f t="shared" si="58"/>
        <v/>
      </c>
      <c r="FY38" s="13" t="str">
        <f t="shared" si="58"/>
        <v/>
      </c>
      <c r="FZ38" s="13" t="str">
        <f t="shared" si="58"/>
        <v/>
      </c>
      <c r="GA38" s="13" t="str">
        <f t="shared" si="58"/>
        <v/>
      </c>
      <c r="GB38" s="13" t="str">
        <f t="shared" si="58"/>
        <v/>
      </c>
      <c r="GC38" s="13" t="str">
        <f t="shared" si="58"/>
        <v/>
      </c>
      <c r="GD38" s="13" t="str">
        <f t="shared" si="58"/>
        <v/>
      </c>
      <c r="GE38" s="13" t="str">
        <f t="shared" si="58"/>
        <v/>
      </c>
      <c r="GF38" s="13" t="str">
        <f t="shared" si="58"/>
        <v/>
      </c>
      <c r="GG38" s="13" t="str">
        <f t="shared" si="58"/>
        <v/>
      </c>
      <c r="GH38" s="13" t="str">
        <f t="shared" si="58"/>
        <v/>
      </c>
      <c r="GI38" s="13" t="str">
        <f t="shared" si="58"/>
        <v/>
      </c>
      <c r="GJ38" s="13" t="str">
        <f t="shared" si="58"/>
        <v/>
      </c>
      <c r="GK38" s="13" t="str">
        <f t="shared" si="58"/>
        <v/>
      </c>
      <c r="GL38" s="13" t="str">
        <f t="shared" si="58"/>
        <v/>
      </c>
      <c r="GM38" s="13" t="str">
        <f t="shared" si="58"/>
        <v/>
      </c>
      <c r="GN38" s="13" t="str">
        <f t="shared" si="58"/>
        <v/>
      </c>
      <c r="GO38" s="13" t="str">
        <f t="shared" si="58"/>
        <v/>
      </c>
      <c r="GP38" s="13" t="str">
        <f t="shared" si="58"/>
        <v/>
      </c>
      <c r="GQ38" s="13" t="str">
        <f t="shared" si="58"/>
        <v/>
      </c>
      <c r="GR38" s="13" t="str">
        <f t="shared" si="58"/>
        <v/>
      </c>
      <c r="GS38" s="13" t="str">
        <f t="shared" si="58"/>
        <v/>
      </c>
      <c r="GT38" s="13" t="str">
        <f t="shared" si="58"/>
        <v/>
      </c>
      <c r="GU38" s="13" t="str">
        <f t="shared" si="58"/>
        <v/>
      </c>
      <c r="GV38" s="13" t="str">
        <f t="shared" si="58"/>
        <v/>
      </c>
      <c r="GW38" s="13" t="str">
        <f t="shared" si="58"/>
        <v/>
      </c>
      <c r="GX38" s="13" t="str">
        <f t="shared" si="58"/>
        <v/>
      </c>
      <c r="GY38" s="13" t="str">
        <f t="shared" si="58"/>
        <v/>
      </c>
      <c r="GZ38" s="13" t="str">
        <f t="shared" si="58"/>
        <v/>
      </c>
      <c r="HA38" s="13" t="str">
        <f t="shared" si="58"/>
        <v/>
      </c>
      <c r="HB38" s="13" t="str">
        <f t="shared" si="58"/>
        <v/>
      </c>
      <c r="HC38" s="13" t="str">
        <f t="shared" si="58"/>
        <v/>
      </c>
      <c r="HD38" s="13" t="str">
        <f t="shared" si="58"/>
        <v/>
      </c>
      <c r="HE38" s="13" t="str">
        <f t="shared" si="58"/>
        <v/>
      </c>
      <c r="HF38" s="13" t="str">
        <f t="shared" si="58"/>
        <v/>
      </c>
      <c r="HG38" s="13" t="str">
        <f t="shared" si="58"/>
        <v/>
      </c>
      <c r="HH38" s="13" t="str">
        <f t="shared" si="58"/>
        <v/>
      </c>
      <c r="HI38" s="13" t="str">
        <f t="shared" si="58"/>
        <v/>
      </c>
      <c r="HJ38" s="13" t="str">
        <f t="shared" si="58"/>
        <v/>
      </c>
      <c r="HK38" s="13" t="str">
        <f t="shared" si="58"/>
        <v/>
      </c>
      <c r="HL38" s="13" t="str">
        <f t="shared" si="58"/>
        <v/>
      </c>
      <c r="HM38" s="13" t="str">
        <f t="shared" si="58"/>
        <v/>
      </c>
      <c r="HN38" s="13" t="str">
        <f t="shared" si="58"/>
        <v/>
      </c>
      <c r="HO38" s="13" t="str">
        <f t="shared" si="58"/>
        <v/>
      </c>
      <c r="HP38" s="13" t="str">
        <f t="shared" si="58"/>
        <v/>
      </c>
      <c r="HQ38" s="13" t="str">
        <f t="shared" si="58"/>
        <v/>
      </c>
      <c r="HR38" s="13" t="str">
        <f t="shared" si="58"/>
        <v/>
      </c>
      <c r="HS38" s="13" t="str">
        <f t="shared" si="58"/>
        <v/>
      </c>
      <c r="HT38" s="13" t="str">
        <f t="shared" si="58"/>
        <v/>
      </c>
      <c r="HU38" s="13" t="str">
        <f t="shared" si="58"/>
        <v/>
      </c>
      <c r="HV38" s="13" t="str">
        <f t="shared" si="58"/>
        <v/>
      </c>
      <c r="HW38" s="13" t="str">
        <f t="shared" si="58"/>
        <v/>
      </c>
      <c r="HX38" s="13" t="str">
        <f t="shared" si="58"/>
        <v/>
      </c>
      <c r="HY38" s="13" t="str">
        <f t="shared" si="58"/>
        <v/>
      </c>
      <c r="HZ38" s="13" t="str">
        <f t="shared" si="58"/>
        <v/>
      </c>
      <c r="IA38" s="13" t="str">
        <f t="shared" si="58"/>
        <v/>
      </c>
      <c r="IB38" s="13" t="str">
        <f t="shared" si="58"/>
        <v/>
      </c>
      <c r="IC38" s="13" t="str">
        <f t="shared" si="58"/>
        <v/>
      </c>
      <c r="ID38" s="13" t="str">
        <f t="shared" si="58"/>
        <v/>
      </c>
      <c r="IE38" s="13" t="str">
        <f t="shared" si="56"/>
        <v/>
      </c>
      <c r="IF38" s="13" t="str">
        <f t="shared" si="56"/>
        <v/>
      </c>
      <c r="IG38" s="13" t="str">
        <f t="shared" si="56"/>
        <v/>
      </c>
      <c r="IH38" s="13" t="str">
        <f t="shared" si="56"/>
        <v/>
      </c>
      <c r="II38" s="13" t="str">
        <f t="shared" si="56"/>
        <v/>
      </c>
      <c r="IJ38" s="13" t="str">
        <f t="shared" si="56"/>
        <v/>
      </c>
      <c r="IK38" s="13" t="str">
        <f t="shared" si="56"/>
        <v/>
      </c>
      <c r="IL38" s="13" t="str">
        <f t="shared" si="56"/>
        <v/>
      </c>
      <c r="IM38" s="13" t="str">
        <f t="shared" si="56"/>
        <v/>
      </c>
      <c r="IN38" s="13" t="str">
        <f t="shared" si="56"/>
        <v/>
      </c>
      <c r="IO38" s="13" t="str">
        <f t="shared" si="56"/>
        <v/>
      </c>
      <c r="IP38" s="13" t="str">
        <f t="shared" si="56"/>
        <v/>
      </c>
      <c r="IQ38" s="13" t="str">
        <f t="shared" si="56"/>
        <v/>
      </c>
      <c r="IR38" s="13" t="str">
        <f t="shared" si="56"/>
        <v/>
      </c>
      <c r="IS38" s="13" t="str">
        <f t="shared" si="56"/>
        <v/>
      </c>
      <c r="IT38" s="13" t="str">
        <f t="shared" si="56"/>
        <v/>
      </c>
      <c r="IU38" s="13" t="str">
        <f t="shared" si="56"/>
        <v/>
      </c>
      <c r="IV38" s="13" t="str">
        <f t="shared" si="56"/>
        <v/>
      </c>
      <c r="IW38" s="13" t="str">
        <f t="shared" si="56"/>
        <v/>
      </c>
      <c r="IX38" s="13" t="str">
        <f t="shared" si="56"/>
        <v/>
      </c>
      <c r="IY38" s="13" t="str">
        <f t="shared" si="56"/>
        <v/>
      </c>
      <c r="IZ38" s="13" t="str">
        <f t="shared" si="56"/>
        <v/>
      </c>
      <c r="JA38" s="13" t="str">
        <f t="shared" si="56"/>
        <v/>
      </c>
      <c r="JB38" s="13" t="str">
        <f t="shared" si="56"/>
        <v/>
      </c>
      <c r="JC38" s="13" t="str">
        <f t="shared" si="56"/>
        <v/>
      </c>
      <c r="JD38" s="13" t="str">
        <f t="shared" si="56"/>
        <v/>
      </c>
      <c r="JE38" s="13" t="str">
        <f t="shared" si="56"/>
        <v/>
      </c>
      <c r="JF38" s="13" t="str">
        <f t="shared" si="56"/>
        <v/>
      </c>
      <c r="JG38" s="13" t="str">
        <f t="shared" si="56"/>
        <v/>
      </c>
      <c r="JH38" s="13" t="str">
        <f t="shared" si="56"/>
        <v/>
      </c>
      <c r="JI38" s="13" t="str">
        <f t="shared" si="56"/>
        <v/>
      </c>
      <c r="JJ38" s="13" t="str">
        <f t="shared" si="56"/>
        <v/>
      </c>
      <c r="JK38" s="13" t="str">
        <f t="shared" si="56"/>
        <v/>
      </c>
      <c r="JL38" s="13" t="str">
        <f t="shared" si="56"/>
        <v/>
      </c>
      <c r="JM38" s="13" t="str">
        <f t="shared" si="56"/>
        <v/>
      </c>
      <c r="JN38" s="13" t="str">
        <f t="shared" si="56"/>
        <v/>
      </c>
      <c r="JO38" s="13" t="str">
        <f t="shared" si="56"/>
        <v/>
      </c>
      <c r="JP38" s="13" t="str">
        <f t="shared" si="56"/>
        <v/>
      </c>
      <c r="JQ38" s="13" t="str">
        <f t="shared" si="56"/>
        <v/>
      </c>
      <c r="JR38" s="13" t="str">
        <f t="shared" si="56"/>
        <v/>
      </c>
      <c r="JS38" s="13" t="str">
        <f t="shared" si="56"/>
        <v/>
      </c>
      <c r="JT38" s="13" t="str">
        <f t="shared" si="56"/>
        <v/>
      </c>
      <c r="JU38" s="13" t="str">
        <f t="shared" si="56"/>
        <v/>
      </c>
      <c r="JV38" s="13" t="str">
        <f t="shared" si="56"/>
        <v/>
      </c>
      <c r="JW38" s="13" t="str">
        <f t="shared" si="56"/>
        <v/>
      </c>
      <c r="JX38" s="13" t="str">
        <f t="shared" si="56"/>
        <v/>
      </c>
      <c r="JY38" s="13" t="str">
        <f t="shared" si="56"/>
        <v/>
      </c>
      <c r="JZ38" s="13" t="str">
        <f t="shared" si="56"/>
        <v/>
      </c>
      <c r="KA38" s="13" t="str">
        <f t="shared" si="56"/>
        <v/>
      </c>
      <c r="KB38" s="13" t="str">
        <f t="shared" si="56"/>
        <v/>
      </c>
      <c r="KC38" s="13" t="str">
        <f t="shared" si="56"/>
        <v/>
      </c>
      <c r="KD38" s="13" t="str">
        <f t="shared" si="56"/>
        <v/>
      </c>
      <c r="KE38" s="13" t="str">
        <f t="shared" si="56"/>
        <v/>
      </c>
      <c r="KF38" s="13" t="str">
        <f t="shared" si="56"/>
        <v/>
      </c>
      <c r="KG38" s="13" t="str">
        <f t="shared" si="56"/>
        <v/>
      </c>
      <c r="KH38" s="13" t="str">
        <f t="shared" si="56"/>
        <v/>
      </c>
      <c r="KI38" s="13" t="str">
        <f t="shared" si="56"/>
        <v/>
      </c>
      <c r="KJ38" s="13" t="str">
        <f t="shared" si="56"/>
        <v/>
      </c>
      <c r="KK38" s="13" t="str">
        <f t="shared" si="56"/>
        <v/>
      </c>
      <c r="KL38" s="13" t="str">
        <f t="shared" si="56"/>
        <v/>
      </c>
      <c r="KM38" s="13" t="str">
        <f t="shared" si="56"/>
        <v/>
      </c>
      <c r="KN38" s="13" t="str">
        <f t="shared" si="56"/>
        <v/>
      </c>
      <c r="KO38" s="13" t="str">
        <f t="shared" si="56"/>
        <v/>
      </c>
      <c r="KP38" s="13" t="str">
        <f t="shared" si="47"/>
        <v/>
      </c>
      <c r="KQ38" s="13" t="str">
        <f t="shared" si="47"/>
        <v/>
      </c>
      <c r="KR38" s="13" t="str">
        <f t="shared" si="47"/>
        <v/>
      </c>
      <c r="KS38" s="13" t="str">
        <f t="shared" si="44"/>
        <v/>
      </c>
      <c r="KT38" s="13" t="str">
        <f t="shared" ref="KT38:MG43" si="59">IF(KT67&gt;0,TEXT(KT$50,"R"&amp;0)&amp;", ","")</f>
        <v/>
      </c>
      <c r="KU38" s="13" t="str">
        <f t="shared" si="59"/>
        <v/>
      </c>
      <c r="KV38" s="13" t="str">
        <f t="shared" si="59"/>
        <v/>
      </c>
      <c r="KW38" s="13" t="str">
        <f t="shared" si="59"/>
        <v/>
      </c>
      <c r="KX38" s="13" t="str">
        <f t="shared" si="59"/>
        <v/>
      </c>
      <c r="KY38" s="13" t="str">
        <f t="shared" si="59"/>
        <v/>
      </c>
      <c r="KZ38" s="13" t="str">
        <f t="shared" si="59"/>
        <v/>
      </c>
      <c r="LA38" s="13" t="str">
        <f t="shared" si="59"/>
        <v/>
      </c>
      <c r="LB38" s="13" t="str">
        <f t="shared" si="59"/>
        <v/>
      </c>
      <c r="LC38" s="13" t="str">
        <f t="shared" si="59"/>
        <v/>
      </c>
      <c r="LD38" s="13" t="str">
        <f t="shared" si="59"/>
        <v/>
      </c>
      <c r="LE38" s="13" t="str">
        <f t="shared" si="59"/>
        <v/>
      </c>
      <c r="LF38" s="13" t="str">
        <f t="shared" si="59"/>
        <v/>
      </c>
      <c r="LG38" s="13" t="str">
        <f t="shared" si="59"/>
        <v/>
      </c>
      <c r="LH38" s="13" t="str">
        <f t="shared" si="59"/>
        <v/>
      </c>
      <c r="LI38" s="13" t="str">
        <f t="shared" si="59"/>
        <v/>
      </c>
      <c r="LJ38" s="13" t="str">
        <f t="shared" si="59"/>
        <v/>
      </c>
      <c r="LK38" s="13" t="str">
        <f t="shared" si="59"/>
        <v/>
      </c>
      <c r="LL38" s="13" t="str">
        <f t="shared" si="59"/>
        <v/>
      </c>
      <c r="LM38" s="13" t="str">
        <f t="shared" si="59"/>
        <v/>
      </c>
      <c r="LN38" s="13" t="str">
        <f t="shared" si="59"/>
        <v/>
      </c>
      <c r="LO38" s="13" t="str">
        <f t="shared" si="59"/>
        <v/>
      </c>
      <c r="LP38" s="13" t="str">
        <f t="shared" si="59"/>
        <v/>
      </c>
      <c r="LQ38" s="13" t="str">
        <f t="shared" si="59"/>
        <v/>
      </c>
      <c r="LR38" s="13" t="str">
        <f t="shared" si="59"/>
        <v/>
      </c>
      <c r="LS38" s="13" t="str">
        <f t="shared" si="59"/>
        <v/>
      </c>
      <c r="LT38" s="13" t="str">
        <f t="shared" si="59"/>
        <v/>
      </c>
      <c r="LU38" s="13" t="str">
        <f t="shared" si="59"/>
        <v/>
      </c>
      <c r="LV38" s="13" t="str">
        <f t="shared" si="59"/>
        <v/>
      </c>
      <c r="LW38" s="13" t="str">
        <f t="shared" si="59"/>
        <v/>
      </c>
      <c r="LX38" s="13" t="str">
        <f t="shared" si="59"/>
        <v/>
      </c>
      <c r="LY38" s="13" t="str">
        <f t="shared" si="59"/>
        <v/>
      </c>
      <c r="LZ38" s="13" t="str">
        <f t="shared" si="59"/>
        <v/>
      </c>
      <c r="MA38" s="13" t="str">
        <f t="shared" si="59"/>
        <v/>
      </c>
      <c r="MB38" s="13" t="str">
        <f t="shared" si="59"/>
        <v/>
      </c>
      <c r="MC38" s="13" t="str">
        <f t="shared" si="59"/>
        <v/>
      </c>
      <c r="MD38" s="13" t="str">
        <f t="shared" si="59"/>
        <v/>
      </c>
      <c r="ME38" s="13" t="str">
        <f t="shared" si="59"/>
        <v/>
      </c>
      <c r="MF38" s="13" t="str">
        <f t="shared" si="59"/>
        <v/>
      </c>
      <c r="MG38" s="13" t="str">
        <f t="shared" si="59"/>
        <v/>
      </c>
    </row>
    <row r="39" spans="1:345" x14ac:dyDescent="0.2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V39" s="8" t="str">
        <f t="shared" si="19"/>
        <v/>
      </c>
      <c r="W39" s="38" t="e">
        <f t="shared" si="7"/>
        <v>#N/A</v>
      </c>
      <c r="X39" s="38" t="e">
        <f t="shared" si="8"/>
        <v>#N/A</v>
      </c>
      <c r="Y39" s="45" t="str">
        <f t="shared" si="9"/>
        <v/>
      </c>
      <c r="Z39" s="40" t="str">
        <f t="shared" si="10"/>
        <v/>
      </c>
      <c r="AA39" s="49" t="e">
        <f t="shared" si="11"/>
        <v>#N/A</v>
      </c>
      <c r="AB39" s="40" t="str">
        <f t="shared" si="12"/>
        <v/>
      </c>
      <c r="AC39" s="49" t="e">
        <f t="shared" si="13"/>
        <v>#N/A</v>
      </c>
      <c r="AE39" s="9" t="str">
        <f t="shared" si="20"/>
        <v/>
      </c>
      <c r="AF39" s="9" t="str">
        <f t="shared" si="21"/>
        <v/>
      </c>
      <c r="AG39" s="9" t="str">
        <f t="shared" si="22"/>
        <v/>
      </c>
      <c r="AH39" s="9" t="str">
        <f t="shared" si="23"/>
        <v/>
      </c>
      <c r="AI39" s="9" t="str">
        <f t="shared" si="24"/>
        <v/>
      </c>
      <c r="AJ39" s="9" t="str">
        <f t="shared" si="25"/>
        <v/>
      </c>
      <c r="AK39" s="9" t="str">
        <f t="shared" si="26"/>
        <v/>
      </c>
      <c r="AL39" s="9" t="str">
        <f t="shared" si="27"/>
        <v/>
      </c>
      <c r="AM39" s="9" t="str">
        <f t="shared" si="28"/>
        <v/>
      </c>
      <c r="AN39" s="9" t="str">
        <f t="shared" si="29"/>
        <v/>
      </c>
      <c r="AO39" s="10" t="str">
        <f t="shared" si="30"/>
        <v/>
      </c>
      <c r="AP39" s="11">
        <f t="shared" si="31"/>
        <v>0</v>
      </c>
      <c r="AR39" s="13" t="str">
        <f t="shared" si="52"/>
        <v/>
      </c>
      <c r="AS39" s="13" t="str">
        <f t="shared" si="53"/>
        <v/>
      </c>
      <c r="AT39" s="13" t="str">
        <f t="shared" si="33"/>
        <v/>
      </c>
      <c r="AU39" s="13" t="str">
        <f t="shared" si="55"/>
        <v/>
      </c>
      <c r="AV39" s="13" t="str">
        <f t="shared" si="55"/>
        <v/>
      </c>
      <c r="AW39" s="13" t="str">
        <f t="shared" si="55"/>
        <v/>
      </c>
      <c r="AX39" s="13" t="str">
        <f t="shared" si="55"/>
        <v/>
      </c>
      <c r="AY39" s="13" t="str">
        <f t="shared" si="55"/>
        <v/>
      </c>
      <c r="AZ39" s="13" t="str">
        <f t="shared" si="55"/>
        <v/>
      </c>
      <c r="BA39" s="13" t="str">
        <f t="shared" si="55"/>
        <v/>
      </c>
      <c r="BB39" s="13" t="str">
        <f t="shared" si="55"/>
        <v/>
      </c>
      <c r="BC39" s="13" t="str">
        <f t="shared" si="55"/>
        <v/>
      </c>
      <c r="BD39" s="13" t="str">
        <f t="shared" si="55"/>
        <v/>
      </c>
      <c r="BE39" s="13" t="str">
        <f t="shared" si="55"/>
        <v/>
      </c>
      <c r="BF39" s="13" t="str">
        <f t="shared" si="55"/>
        <v/>
      </c>
      <c r="BG39" s="13" t="str">
        <f t="shared" si="55"/>
        <v/>
      </c>
      <c r="BH39" s="13" t="str">
        <f t="shared" si="55"/>
        <v/>
      </c>
      <c r="BI39" s="13" t="str">
        <f t="shared" si="55"/>
        <v/>
      </c>
      <c r="BJ39" s="13" t="str">
        <f t="shared" si="55"/>
        <v/>
      </c>
      <c r="BK39" s="13" t="str">
        <f t="shared" si="55"/>
        <v/>
      </c>
      <c r="BL39" s="13" t="str">
        <f t="shared" si="55"/>
        <v/>
      </c>
      <c r="BM39" s="13" t="str">
        <f t="shared" si="55"/>
        <v/>
      </c>
      <c r="BN39" s="13" t="str">
        <f t="shared" si="55"/>
        <v/>
      </c>
      <c r="BO39" s="13" t="str">
        <f t="shared" si="55"/>
        <v/>
      </c>
      <c r="BP39" s="13" t="str">
        <f t="shared" si="55"/>
        <v/>
      </c>
      <c r="BQ39" s="13" t="str">
        <f t="shared" si="55"/>
        <v/>
      </c>
      <c r="BR39" s="13" t="str">
        <f t="shared" si="55"/>
        <v/>
      </c>
      <c r="BS39" s="13" t="str">
        <f t="shared" si="55"/>
        <v/>
      </c>
      <c r="BT39" s="13" t="str">
        <f t="shared" si="55"/>
        <v/>
      </c>
      <c r="BU39" s="13" t="str">
        <f t="shared" si="55"/>
        <v/>
      </c>
      <c r="BV39" s="13" t="str">
        <f t="shared" si="55"/>
        <v/>
      </c>
      <c r="BW39" s="13" t="str">
        <f t="shared" si="55"/>
        <v/>
      </c>
      <c r="BX39" s="13" t="str">
        <f t="shared" si="55"/>
        <v/>
      </c>
      <c r="BY39" s="13" t="str">
        <f t="shared" si="55"/>
        <v/>
      </c>
      <c r="BZ39" s="13" t="str">
        <f t="shared" si="55"/>
        <v/>
      </c>
      <c r="CA39" s="13" t="str">
        <f t="shared" si="55"/>
        <v/>
      </c>
      <c r="CB39" s="13" t="str">
        <f t="shared" si="55"/>
        <v/>
      </c>
      <c r="CC39" s="13" t="str">
        <f t="shared" si="55"/>
        <v/>
      </c>
      <c r="CD39" s="13" t="str">
        <f t="shared" si="55"/>
        <v/>
      </c>
      <c r="CE39" s="13" t="str">
        <f t="shared" si="55"/>
        <v/>
      </c>
      <c r="CF39" s="13" t="str">
        <f t="shared" si="55"/>
        <v/>
      </c>
      <c r="CG39" s="13" t="str">
        <f t="shared" si="55"/>
        <v/>
      </c>
      <c r="CH39" s="13" t="str">
        <f t="shared" si="55"/>
        <v/>
      </c>
      <c r="CI39" s="13" t="str">
        <f t="shared" si="55"/>
        <v/>
      </c>
      <c r="CJ39" s="13" t="str">
        <f t="shared" si="55"/>
        <v/>
      </c>
      <c r="CK39" s="13" t="str">
        <f t="shared" si="55"/>
        <v/>
      </c>
      <c r="CL39" s="13" t="str">
        <f t="shared" si="55"/>
        <v/>
      </c>
      <c r="CM39" s="13" t="str">
        <f t="shared" si="55"/>
        <v/>
      </c>
      <c r="CN39" s="13" t="str">
        <f t="shared" si="55"/>
        <v/>
      </c>
      <c r="CO39" s="13" t="str">
        <f t="shared" si="55"/>
        <v/>
      </c>
      <c r="CP39" s="13" t="str">
        <f t="shared" si="55"/>
        <v/>
      </c>
      <c r="CQ39" s="13" t="str">
        <f t="shared" si="55"/>
        <v/>
      </c>
      <c r="CR39" s="13" t="str">
        <f t="shared" si="55"/>
        <v/>
      </c>
      <c r="CS39" s="13" t="str">
        <f t="shared" si="55"/>
        <v/>
      </c>
      <c r="CT39" s="13" t="str">
        <f t="shared" si="55"/>
        <v/>
      </c>
      <c r="CU39" s="13" t="str">
        <f t="shared" si="55"/>
        <v/>
      </c>
      <c r="CV39" s="13" t="str">
        <f t="shared" si="55"/>
        <v/>
      </c>
      <c r="CW39" s="13" t="str">
        <f t="shared" si="55"/>
        <v/>
      </c>
      <c r="CX39" s="13" t="str">
        <f t="shared" si="55"/>
        <v/>
      </c>
      <c r="CY39" s="13" t="str">
        <f t="shared" si="55"/>
        <v/>
      </c>
      <c r="CZ39" s="13" t="str">
        <f t="shared" si="55"/>
        <v/>
      </c>
      <c r="DA39" s="13" t="str">
        <f t="shared" si="55"/>
        <v/>
      </c>
      <c r="DB39" s="13" t="str">
        <f t="shared" si="55"/>
        <v/>
      </c>
      <c r="DC39" s="13" t="str">
        <f t="shared" si="55"/>
        <v/>
      </c>
      <c r="DD39" s="13" t="str">
        <f t="shared" si="55"/>
        <v/>
      </c>
      <c r="DE39" s="13" t="str">
        <f t="shared" si="55"/>
        <v/>
      </c>
      <c r="DF39" s="13" t="str">
        <f t="shared" ref="DF39:FQ42" si="60">IF(DF68&gt;0,TEXT(DF$50,"R"&amp;0)&amp;", ","")</f>
        <v/>
      </c>
      <c r="DG39" s="13" t="str">
        <f t="shared" si="60"/>
        <v/>
      </c>
      <c r="DH39" s="13" t="str">
        <f t="shared" si="60"/>
        <v/>
      </c>
      <c r="DI39" s="13" t="str">
        <f t="shared" si="60"/>
        <v/>
      </c>
      <c r="DJ39" s="13" t="str">
        <f t="shared" si="60"/>
        <v/>
      </c>
      <c r="DK39" s="13" t="str">
        <f t="shared" si="60"/>
        <v/>
      </c>
      <c r="DL39" s="13" t="str">
        <f t="shared" si="60"/>
        <v/>
      </c>
      <c r="DM39" s="13" t="str">
        <f t="shared" si="60"/>
        <v/>
      </c>
      <c r="DN39" s="13" t="str">
        <f t="shared" si="60"/>
        <v/>
      </c>
      <c r="DO39" s="13" t="str">
        <f t="shared" si="60"/>
        <v/>
      </c>
      <c r="DP39" s="13" t="str">
        <f t="shared" si="60"/>
        <v/>
      </c>
      <c r="DQ39" s="13" t="str">
        <f t="shared" si="60"/>
        <v/>
      </c>
      <c r="DR39" s="13" t="str">
        <f t="shared" si="60"/>
        <v/>
      </c>
      <c r="DS39" s="13" t="str">
        <f t="shared" si="60"/>
        <v/>
      </c>
      <c r="DT39" s="13" t="str">
        <f t="shared" si="60"/>
        <v/>
      </c>
      <c r="DU39" s="13" t="str">
        <f t="shared" si="60"/>
        <v/>
      </c>
      <c r="DV39" s="13" t="str">
        <f t="shared" si="60"/>
        <v/>
      </c>
      <c r="DW39" s="13" t="str">
        <f t="shared" si="60"/>
        <v/>
      </c>
      <c r="DX39" s="13" t="str">
        <f t="shared" si="60"/>
        <v/>
      </c>
      <c r="DY39" s="13" t="str">
        <f t="shared" si="60"/>
        <v/>
      </c>
      <c r="DZ39" s="13" t="str">
        <f t="shared" si="60"/>
        <v/>
      </c>
      <c r="EA39" s="13" t="str">
        <f t="shared" si="60"/>
        <v/>
      </c>
      <c r="EB39" s="13" t="str">
        <f t="shared" si="60"/>
        <v/>
      </c>
      <c r="EC39" s="13" t="str">
        <f t="shared" si="60"/>
        <v/>
      </c>
      <c r="ED39" s="13" t="str">
        <f t="shared" si="60"/>
        <v/>
      </c>
      <c r="EE39" s="13" t="str">
        <f t="shared" si="60"/>
        <v/>
      </c>
      <c r="EF39" s="13" t="str">
        <f t="shared" si="60"/>
        <v/>
      </c>
      <c r="EG39" s="13" t="str">
        <f t="shared" si="60"/>
        <v/>
      </c>
      <c r="EH39" s="13" t="str">
        <f t="shared" si="60"/>
        <v/>
      </c>
      <c r="EI39" s="13" t="str">
        <f t="shared" si="60"/>
        <v/>
      </c>
      <c r="EJ39" s="13" t="str">
        <f t="shared" si="60"/>
        <v/>
      </c>
      <c r="EK39" s="13" t="str">
        <f t="shared" si="60"/>
        <v/>
      </c>
      <c r="EL39" s="13" t="str">
        <f t="shared" si="60"/>
        <v/>
      </c>
      <c r="EM39" s="13" t="str">
        <f t="shared" si="60"/>
        <v/>
      </c>
      <c r="EN39" s="13" t="str">
        <f t="shared" si="60"/>
        <v/>
      </c>
      <c r="EO39" s="13" t="str">
        <f t="shared" si="60"/>
        <v/>
      </c>
      <c r="EP39" s="13" t="str">
        <f t="shared" si="60"/>
        <v/>
      </c>
      <c r="EQ39" s="13" t="str">
        <f t="shared" si="60"/>
        <v/>
      </c>
      <c r="ER39" s="13" t="str">
        <f t="shared" si="60"/>
        <v/>
      </c>
      <c r="ES39" s="13" t="str">
        <f t="shared" si="60"/>
        <v/>
      </c>
      <c r="ET39" s="13" t="str">
        <f t="shared" si="60"/>
        <v/>
      </c>
      <c r="EU39" s="13" t="str">
        <f t="shared" si="60"/>
        <v/>
      </c>
      <c r="EV39" s="13" t="str">
        <f t="shared" si="60"/>
        <v/>
      </c>
      <c r="EW39" s="13" t="str">
        <f t="shared" si="60"/>
        <v/>
      </c>
      <c r="EX39" s="13" t="str">
        <f t="shared" si="60"/>
        <v/>
      </c>
      <c r="EY39" s="13" t="str">
        <f t="shared" si="60"/>
        <v/>
      </c>
      <c r="EZ39" s="13" t="str">
        <f t="shared" si="60"/>
        <v/>
      </c>
      <c r="FA39" s="13" t="str">
        <f t="shared" si="60"/>
        <v/>
      </c>
      <c r="FB39" s="13" t="str">
        <f t="shared" si="60"/>
        <v/>
      </c>
      <c r="FC39" s="13" t="str">
        <f t="shared" si="60"/>
        <v/>
      </c>
      <c r="FD39" s="13" t="str">
        <f t="shared" si="60"/>
        <v/>
      </c>
      <c r="FE39" s="13" t="str">
        <f t="shared" si="60"/>
        <v/>
      </c>
      <c r="FF39" s="13" t="str">
        <f t="shared" si="60"/>
        <v/>
      </c>
      <c r="FG39" s="13" t="str">
        <f t="shared" si="60"/>
        <v/>
      </c>
      <c r="FH39" s="13" t="str">
        <f t="shared" si="60"/>
        <v/>
      </c>
      <c r="FI39" s="13" t="str">
        <f t="shared" si="60"/>
        <v/>
      </c>
      <c r="FJ39" s="13" t="str">
        <f t="shared" si="60"/>
        <v/>
      </c>
      <c r="FK39" s="13" t="str">
        <f t="shared" si="60"/>
        <v/>
      </c>
      <c r="FL39" s="13" t="str">
        <f t="shared" si="60"/>
        <v/>
      </c>
      <c r="FM39" s="13" t="str">
        <f t="shared" si="60"/>
        <v/>
      </c>
      <c r="FN39" s="13" t="str">
        <f t="shared" si="60"/>
        <v/>
      </c>
      <c r="FO39" s="13" t="str">
        <f t="shared" si="60"/>
        <v/>
      </c>
      <c r="FP39" s="13" t="str">
        <f t="shared" si="60"/>
        <v/>
      </c>
      <c r="FQ39" s="13" t="str">
        <f t="shared" si="60"/>
        <v/>
      </c>
      <c r="FR39" s="13" t="str">
        <f t="shared" si="38"/>
        <v/>
      </c>
      <c r="FS39" s="13" t="str">
        <f t="shared" si="58"/>
        <v/>
      </c>
      <c r="FT39" s="13" t="str">
        <f t="shared" si="58"/>
        <v/>
      </c>
      <c r="FU39" s="13" t="str">
        <f t="shared" si="58"/>
        <v/>
      </c>
      <c r="FV39" s="13" t="str">
        <f t="shared" si="58"/>
        <v/>
      </c>
      <c r="FW39" s="13" t="str">
        <f t="shared" si="58"/>
        <v/>
      </c>
      <c r="FX39" s="13" t="str">
        <f t="shared" si="58"/>
        <v/>
      </c>
      <c r="FY39" s="13" t="str">
        <f t="shared" si="58"/>
        <v/>
      </c>
      <c r="FZ39" s="13" t="str">
        <f t="shared" si="58"/>
        <v/>
      </c>
      <c r="GA39" s="13" t="str">
        <f t="shared" si="58"/>
        <v/>
      </c>
      <c r="GB39" s="13" t="str">
        <f t="shared" si="58"/>
        <v/>
      </c>
      <c r="GC39" s="13" t="str">
        <f t="shared" si="58"/>
        <v/>
      </c>
      <c r="GD39" s="13" t="str">
        <f t="shared" si="58"/>
        <v/>
      </c>
      <c r="GE39" s="13" t="str">
        <f t="shared" si="58"/>
        <v/>
      </c>
      <c r="GF39" s="13" t="str">
        <f t="shared" si="58"/>
        <v/>
      </c>
      <c r="GG39" s="13" t="str">
        <f t="shared" si="58"/>
        <v/>
      </c>
      <c r="GH39" s="13" t="str">
        <f t="shared" si="58"/>
        <v/>
      </c>
      <c r="GI39" s="13" t="str">
        <f t="shared" si="58"/>
        <v/>
      </c>
      <c r="GJ39" s="13" t="str">
        <f t="shared" si="58"/>
        <v/>
      </c>
      <c r="GK39" s="13" t="str">
        <f t="shared" si="58"/>
        <v/>
      </c>
      <c r="GL39" s="13" t="str">
        <f t="shared" si="58"/>
        <v/>
      </c>
      <c r="GM39" s="13" t="str">
        <f t="shared" si="58"/>
        <v/>
      </c>
      <c r="GN39" s="13" t="str">
        <f t="shared" si="58"/>
        <v/>
      </c>
      <c r="GO39" s="13" t="str">
        <f t="shared" si="58"/>
        <v/>
      </c>
      <c r="GP39" s="13" t="str">
        <f t="shared" si="58"/>
        <v/>
      </c>
      <c r="GQ39" s="13" t="str">
        <f t="shared" si="58"/>
        <v/>
      </c>
      <c r="GR39" s="13" t="str">
        <f t="shared" si="58"/>
        <v/>
      </c>
      <c r="GS39" s="13" t="str">
        <f t="shared" si="58"/>
        <v/>
      </c>
      <c r="GT39" s="13" t="str">
        <f t="shared" si="58"/>
        <v/>
      </c>
      <c r="GU39" s="13" t="str">
        <f t="shared" si="58"/>
        <v/>
      </c>
      <c r="GV39" s="13" t="str">
        <f t="shared" si="58"/>
        <v/>
      </c>
      <c r="GW39" s="13" t="str">
        <f t="shared" si="58"/>
        <v/>
      </c>
      <c r="GX39" s="13" t="str">
        <f t="shared" si="58"/>
        <v/>
      </c>
      <c r="GY39" s="13" t="str">
        <f t="shared" si="58"/>
        <v/>
      </c>
      <c r="GZ39" s="13" t="str">
        <f t="shared" si="58"/>
        <v/>
      </c>
      <c r="HA39" s="13" t="str">
        <f t="shared" si="58"/>
        <v/>
      </c>
      <c r="HB39" s="13" t="str">
        <f t="shared" si="58"/>
        <v/>
      </c>
      <c r="HC39" s="13" t="str">
        <f t="shared" si="58"/>
        <v/>
      </c>
      <c r="HD39" s="13" t="str">
        <f t="shared" si="58"/>
        <v/>
      </c>
      <c r="HE39" s="13" t="str">
        <f t="shared" si="58"/>
        <v/>
      </c>
      <c r="HF39" s="13" t="str">
        <f t="shared" si="58"/>
        <v/>
      </c>
      <c r="HG39" s="13" t="str">
        <f t="shared" si="58"/>
        <v/>
      </c>
      <c r="HH39" s="13" t="str">
        <f t="shared" si="58"/>
        <v/>
      </c>
      <c r="HI39" s="13" t="str">
        <f t="shared" si="58"/>
        <v/>
      </c>
      <c r="HJ39" s="13" t="str">
        <f t="shared" si="58"/>
        <v/>
      </c>
      <c r="HK39" s="13" t="str">
        <f t="shared" si="58"/>
        <v/>
      </c>
      <c r="HL39" s="13" t="str">
        <f t="shared" si="58"/>
        <v/>
      </c>
      <c r="HM39" s="13" t="str">
        <f t="shared" si="58"/>
        <v/>
      </c>
      <c r="HN39" s="13" t="str">
        <f t="shared" si="58"/>
        <v/>
      </c>
      <c r="HO39" s="13" t="str">
        <f t="shared" si="58"/>
        <v/>
      </c>
      <c r="HP39" s="13" t="str">
        <f t="shared" si="58"/>
        <v/>
      </c>
      <c r="HQ39" s="13" t="str">
        <f t="shared" si="58"/>
        <v/>
      </c>
      <c r="HR39" s="13" t="str">
        <f t="shared" si="58"/>
        <v/>
      </c>
      <c r="HS39" s="13" t="str">
        <f t="shared" si="58"/>
        <v/>
      </c>
      <c r="HT39" s="13" t="str">
        <f t="shared" si="58"/>
        <v/>
      </c>
      <c r="HU39" s="13" t="str">
        <f t="shared" si="58"/>
        <v/>
      </c>
      <c r="HV39" s="13" t="str">
        <f t="shared" si="58"/>
        <v/>
      </c>
      <c r="HW39" s="13" t="str">
        <f t="shared" si="58"/>
        <v/>
      </c>
      <c r="HX39" s="13" t="str">
        <f t="shared" si="58"/>
        <v/>
      </c>
      <c r="HY39" s="13" t="str">
        <f t="shared" si="58"/>
        <v/>
      </c>
      <c r="HZ39" s="13" t="str">
        <f t="shared" si="58"/>
        <v/>
      </c>
      <c r="IA39" s="13" t="str">
        <f t="shared" si="58"/>
        <v/>
      </c>
      <c r="IB39" s="13" t="str">
        <f t="shared" si="58"/>
        <v/>
      </c>
      <c r="IC39" s="13" t="str">
        <f t="shared" si="58"/>
        <v/>
      </c>
      <c r="ID39" s="13" t="str">
        <f t="shared" si="58"/>
        <v/>
      </c>
      <c r="IE39" s="13" t="str">
        <f t="shared" si="56"/>
        <v/>
      </c>
      <c r="IF39" s="13" t="str">
        <f t="shared" si="56"/>
        <v/>
      </c>
      <c r="IG39" s="13" t="str">
        <f t="shared" si="56"/>
        <v/>
      </c>
      <c r="IH39" s="13" t="str">
        <f t="shared" si="56"/>
        <v/>
      </c>
      <c r="II39" s="13" t="str">
        <f t="shared" si="56"/>
        <v/>
      </c>
      <c r="IJ39" s="13" t="str">
        <f t="shared" si="56"/>
        <v/>
      </c>
      <c r="IK39" s="13" t="str">
        <f t="shared" si="56"/>
        <v/>
      </c>
      <c r="IL39" s="13" t="str">
        <f t="shared" si="56"/>
        <v/>
      </c>
      <c r="IM39" s="13" t="str">
        <f t="shared" si="56"/>
        <v/>
      </c>
      <c r="IN39" s="13" t="str">
        <f t="shared" si="56"/>
        <v/>
      </c>
      <c r="IO39" s="13" t="str">
        <f t="shared" si="56"/>
        <v/>
      </c>
      <c r="IP39" s="13" t="str">
        <f t="shared" si="56"/>
        <v/>
      </c>
      <c r="IQ39" s="13" t="str">
        <f t="shared" si="56"/>
        <v/>
      </c>
      <c r="IR39" s="13" t="str">
        <f t="shared" si="56"/>
        <v/>
      </c>
      <c r="IS39" s="13" t="str">
        <f t="shared" si="56"/>
        <v/>
      </c>
      <c r="IT39" s="13" t="str">
        <f t="shared" si="56"/>
        <v/>
      </c>
      <c r="IU39" s="13" t="str">
        <f t="shared" si="56"/>
        <v/>
      </c>
      <c r="IV39" s="13" t="str">
        <f t="shared" si="56"/>
        <v/>
      </c>
      <c r="IW39" s="13" t="str">
        <f t="shared" si="56"/>
        <v/>
      </c>
      <c r="IX39" s="13" t="str">
        <f t="shared" si="56"/>
        <v/>
      </c>
      <c r="IY39" s="13" t="str">
        <f t="shared" si="56"/>
        <v/>
      </c>
      <c r="IZ39" s="13" t="str">
        <f t="shared" si="56"/>
        <v/>
      </c>
      <c r="JA39" s="13" t="str">
        <f t="shared" si="56"/>
        <v/>
      </c>
      <c r="JB39" s="13" t="str">
        <f t="shared" si="56"/>
        <v/>
      </c>
      <c r="JC39" s="13" t="str">
        <f t="shared" si="56"/>
        <v/>
      </c>
      <c r="JD39" s="13" t="str">
        <f t="shared" si="56"/>
        <v/>
      </c>
      <c r="JE39" s="13" t="str">
        <f t="shared" si="56"/>
        <v/>
      </c>
      <c r="JF39" s="13" t="str">
        <f t="shared" si="56"/>
        <v/>
      </c>
      <c r="JG39" s="13" t="str">
        <f t="shared" si="56"/>
        <v/>
      </c>
      <c r="JH39" s="13" t="str">
        <f t="shared" si="56"/>
        <v/>
      </c>
      <c r="JI39" s="13" t="str">
        <f t="shared" si="56"/>
        <v/>
      </c>
      <c r="JJ39" s="13" t="str">
        <f t="shared" si="56"/>
        <v/>
      </c>
      <c r="JK39" s="13" t="str">
        <f t="shared" si="56"/>
        <v/>
      </c>
      <c r="JL39" s="13" t="str">
        <f t="shared" si="56"/>
        <v/>
      </c>
      <c r="JM39" s="13" t="str">
        <f t="shared" si="56"/>
        <v/>
      </c>
      <c r="JN39" s="13" t="str">
        <f t="shared" si="56"/>
        <v/>
      </c>
      <c r="JO39" s="13" t="str">
        <f t="shared" si="56"/>
        <v/>
      </c>
      <c r="JP39" s="13" t="str">
        <f t="shared" si="56"/>
        <v/>
      </c>
      <c r="JQ39" s="13" t="str">
        <f t="shared" si="56"/>
        <v/>
      </c>
      <c r="JR39" s="13" t="str">
        <f t="shared" si="56"/>
        <v/>
      </c>
      <c r="JS39" s="13" t="str">
        <f t="shared" si="56"/>
        <v/>
      </c>
      <c r="JT39" s="13" t="str">
        <f t="shared" si="56"/>
        <v/>
      </c>
      <c r="JU39" s="13" t="str">
        <f t="shared" si="56"/>
        <v/>
      </c>
      <c r="JV39" s="13" t="str">
        <f t="shared" si="56"/>
        <v/>
      </c>
      <c r="JW39" s="13" t="str">
        <f t="shared" si="56"/>
        <v/>
      </c>
      <c r="JX39" s="13" t="str">
        <f t="shared" si="56"/>
        <v/>
      </c>
      <c r="JY39" s="13" t="str">
        <f t="shared" si="56"/>
        <v/>
      </c>
      <c r="JZ39" s="13" t="str">
        <f t="shared" si="56"/>
        <v/>
      </c>
      <c r="KA39" s="13" t="str">
        <f t="shared" si="56"/>
        <v/>
      </c>
      <c r="KB39" s="13" t="str">
        <f t="shared" si="56"/>
        <v/>
      </c>
      <c r="KC39" s="13" t="str">
        <f t="shared" si="56"/>
        <v/>
      </c>
      <c r="KD39" s="13" t="str">
        <f t="shared" si="56"/>
        <v/>
      </c>
      <c r="KE39" s="13" t="str">
        <f t="shared" si="56"/>
        <v/>
      </c>
      <c r="KF39" s="13" t="str">
        <f t="shared" si="56"/>
        <v/>
      </c>
      <c r="KG39" s="13" t="str">
        <f t="shared" si="56"/>
        <v/>
      </c>
      <c r="KH39" s="13" t="str">
        <f t="shared" si="56"/>
        <v/>
      </c>
      <c r="KI39" s="13" t="str">
        <f t="shared" si="56"/>
        <v/>
      </c>
      <c r="KJ39" s="13" t="str">
        <f t="shared" si="56"/>
        <v/>
      </c>
      <c r="KK39" s="13" t="str">
        <f t="shared" si="56"/>
        <v/>
      </c>
      <c r="KL39" s="13" t="str">
        <f t="shared" si="56"/>
        <v/>
      </c>
      <c r="KM39" s="13" t="str">
        <f t="shared" si="56"/>
        <v/>
      </c>
      <c r="KN39" s="13" t="str">
        <f t="shared" si="56"/>
        <v/>
      </c>
      <c r="KO39" s="13" t="str">
        <f t="shared" si="56"/>
        <v/>
      </c>
      <c r="KP39" s="13" t="str">
        <f t="shared" si="47"/>
        <v/>
      </c>
      <c r="KQ39" s="13" t="str">
        <f t="shared" si="47"/>
        <v/>
      </c>
      <c r="KR39" s="13" t="str">
        <f t="shared" si="47"/>
        <v/>
      </c>
      <c r="KS39" s="13" t="str">
        <f t="shared" si="44"/>
        <v/>
      </c>
      <c r="KT39" s="13" t="str">
        <f t="shared" si="59"/>
        <v/>
      </c>
      <c r="KU39" s="13" t="str">
        <f t="shared" si="59"/>
        <v/>
      </c>
      <c r="KV39" s="13" t="str">
        <f t="shared" si="59"/>
        <v/>
      </c>
      <c r="KW39" s="13" t="str">
        <f t="shared" si="59"/>
        <v/>
      </c>
      <c r="KX39" s="13" t="str">
        <f t="shared" si="59"/>
        <v/>
      </c>
      <c r="KY39" s="13" t="str">
        <f t="shared" si="59"/>
        <v/>
      </c>
      <c r="KZ39" s="13" t="str">
        <f t="shared" si="59"/>
        <v/>
      </c>
      <c r="LA39" s="13" t="str">
        <f t="shared" si="59"/>
        <v/>
      </c>
      <c r="LB39" s="13" t="str">
        <f t="shared" si="59"/>
        <v/>
      </c>
      <c r="LC39" s="13" t="str">
        <f t="shared" si="59"/>
        <v/>
      </c>
      <c r="LD39" s="13" t="str">
        <f t="shared" si="59"/>
        <v/>
      </c>
      <c r="LE39" s="13" t="str">
        <f t="shared" si="59"/>
        <v/>
      </c>
      <c r="LF39" s="13" t="str">
        <f t="shared" si="59"/>
        <v/>
      </c>
      <c r="LG39" s="13" t="str">
        <f t="shared" si="59"/>
        <v/>
      </c>
      <c r="LH39" s="13" t="str">
        <f t="shared" si="59"/>
        <v/>
      </c>
      <c r="LI39" s="13" t="str">
        <f t="shared" si="59"/>
        <v/>
      </c>
      <c r="LJ39" s="13" t="str">
        <f t="shared" si="59"/>
        <v/>
      </c>
      <c r="LK39" s="13" t="str">
        <f t="shared" si="59"/>
        <v/>
      </c>
      <c r="LL39" s="13" t="str">
        <f t="shared" si="59"/>
        <v/>
      </c>
      <c r="LM39" s="13" t="str">
        <f t="shared" si="59"/>
        <v/>
      </c>
      <c r="LN39" s="13" t="str">
        <f t="shared" si="59"/>
        <v/>
      </c>
      <c r="LO39" s="13" t="str">
        <f t="shared" si="59"/>
        <v/>
      </c>
      <c r="LP39" s="13" t="str">
        <f t="shared" si="59"/>
        <v/>
      </c>
      <c r="LQ39" s="13" t="str">
        <f t="shared" si="59"/>
        <v/>
      </c>
      <c r="LR39" s="13" t="str">
        <f t="shared" si="59"/>
        <v/>
      </c>
      <c r="LS39" s="13" t="str">
        <f t="shared" si="59"/>
        <v/>
      </c>
      <c r="LT39" s="13" t="str">
        <f t="shared" si="59"/>
        <v/>
      </c>
      <c r="LU39" s="13" t="str">
        <f t="shared" si="59"/>
        <v/>
      </c>
      <c r="LV39" s="13" t="str">
        <f t="shared" si="59"/>
        <v/>
      </c>
      <c r="LW39" s="13" t="str">
        <f t="shared" si="59"/>
        <v/>
      </c>
      <c r="LX39" s="13" t="str">
        <f t="shared" si="59"/>
        <v/>
      </c>
      <c r="LY39" s="13" t="str">
        <f t="shared" si="59"/>
        <v/>
      </c>
      <c r="LZ39" s="13" t="str">
        <f t="shared" si="59"/>
        <v/>
      </c>
      <c r="MA39" s="13" t="str">
        <f t="shared" si="59"/>
        <v/>
      </c>
      <c r="MB39" s="13" t="str">
        <f t="shared" si="59"/>
        <v/>
      </c>
      <c r="MC39" s="13" t="str">
        <f t="shared" si="59"/>
        <v/>
      </c>
      <c r="MD39" s="13" t="str">
        <f t="shared" si="59"/>
        <v/>
      </c>
      <c r="ME39" s="13" t="str">
        <f t="shared" si="59"/>
        <v/>
      </c>
      <c r="MF39" s="13" t="str">
        <f t="shared" si="59"/>
        <v/>
      </c>
      <c r="MG39" s="13" t="str">
        <f t="shared" si="59"/>
        <v/>
      </c>
    </row>
    <row r="40" spans="1:345" x14ac:dyDescent="0.2">
      <c r="A40" s="3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V40" s="8" t="str">
        <f t="shared" si="19"/>
        <v/>
      </c>
      <c r="W40" s="38" t="e">
        <f t="shared" si="7"/>
        <v>#N/A</v>
      </c>
      <c r="X40" s="38" t="e">
        <f t="shared" si="8"/>
        <v>#N/A</v>
      </c>
      <c r="Y40" s="45" t="str">
        <f t="shared" si="9"/>
        <v/>
      </c>
      <c r="Z40" s="40" t="str">
        <f t="shared" si="10"/>
        <v/>
      </c>
      <c r="AA40" s="49" t="e">
        <f t="shared" si="11"/>
        <v>#N/A</v>
      </c>
      <c r="AB40" s="40" t="str">
        <f t="shared" si="12"/>
        <v/>
      </c>
      <c r="AC40" s="49" t="e">
        <f t="shared" si="13"/>
        <v>#N/A</v>
      </c>
      <c r="AE40" s="9" t="str">
        <f t="shared" si="20"/>
        <v/>
      </c>
      <c r="AF40" s="9" t="str">
        <f t="shared" si="21"/>
        <v/>
      </c>
      <c r="AG40" s="9" t="str">
        <f t="shared" si="22"/>
        <v/>
      </c>
      <c r="AH40" s="9" t="str">
        <f t="shared" si="23"/>
        <v/>
      </c>
      <c r="AI40" s="9" t="str">
        <f t="shared" si="24"/>
        <v/>
      </c>
      <c r="AJ40" s="9" t="str">
        <f t="shared" si="25"/>
        <v/>
      </c>
      <c r="AK40" s="9" t="str">
        <f t="shared" si="26"/>
        <v/>
      </c>
      <c r="AL40" s="9" t="str">
        <f t="shared" si="27"/>
        <v/>
      </c>
      <c r="AM40" s="9" t="str">
        <f t="shared" si="28"/>
        <v/>
      </c>
      <c r="AN40" s="9" t="str">
        <f t="shared" si="29"/>
        <v/>
      </c>
      <c r="AO40" s="10" t="str">
        <f t="shared" si="30"/>
        <v/>
      </c>
      <c r="AP40" s="11">
        <f t="shared" si="31"/>
        <v>0</v>
      </c>
      <c r="AR40" s="13" t="str">
        <f t="shared" si="52"/>
        <v/>
      </c>
      <c r="AS40" s="13" t="str">
        <f t="shared" si="53"/>
        <v/>
      </c>
      <c r="AT40" s="13" t="str">
        <f t="shared" si="33"/>
        <v/>
      </c>
      <c r="AU40" s="13" t="str">
        <f t="shared" ref="AU40:DF43" si="61">IF(AU69&gt;0,TEXT(AU$50,"R"&amp;0)&amp;", ","")</f>
        <v/>
      </c>
      <c r="AV40" s="13" t="str">
        <f t="shared" si="61"/>
        <v/>
      </c>
      <c r="AW40" s="13" t="str">
        <f t="shared" si="61"/>
        <v/>
      </c>
      <c r="AX40" s="13" t="str">
        <f t="shared" si="61"/>
        <v/>
      </c>
      <c r="AY40" s="13" t="str">
        <f t="shared" si="61"/>
        <v/>
      </c>
      <c r="AZ40" s="13" t="str">
        <f t="shared" si="61"/>
        <v/>
      </c>
      <c r="BA40" s="13" t="str">
        <f t="shared" si="61"/>
        <v/>
      </c>
      <c r="BB40" s="13" t="str">
        <f t="shared" si="61"/>
        <v/>
      </c>
      <c r="BC40" s="13" t="str">
        <f t="shared" si="61"/>
        <v/>
      </c>
      <c r="BD40" s="13" t="str">
        <f t="shared" si="61"/>
        <v/>
      </c>
      <c r="BE40" s="13" t="str">
        <f t="shared" si="61"/>
        <v/>
      </c>
      <c r="BF40" s="13" t="str">
        <f t="shared" si="61"/>
        <v/>
      </c>
      <c r="BG40" s="13" t="str">
        <f t="shared" si="61"/>
        <v/>
      </c>
      <c r="BH40" s="13" t="str">
        <f t="shared" si="61"/>
        <v/>
      </c>
      <c r="BI40" s="13" t="str">
        <f t="shared" si="61"/>
        <v/>
      </c>
      <c r="BJ40" s="13" t="str">
        <f t="shared" si="61"/>
        <v/>
      </c>
      <c r="BK40" s="13" t="str">
        <f t="shared" si="61"/>
        <v/>
      </c>
      <c r="BL40" s="13" t="str">
        <f t="shared" si="61"/>
        <v/>
      </c>
      <c r="BM40" s="13" t="str">
        <f t="shared" si="61"/>
        <v/>
      </c>
      <c r="BN40" s="13" t="str">
        <f t="shared" si="61"/>
        <v/>
      </c>
      <c r="BO40" s="13" t="str">
        <f t="shared" si="61"/>
        <v/>
      </c>
      <c r="BP40" s="13" t="str">
        <f t="shared" si="61"/>
        <v/>
      </c>
      <c r="BQ40" s="13" t="str">
        <f t="shared" si="61"/>
        <v/>
      </c>
      <c r="BR40" s="13" t="str">
        <f t="shared" si="61"/>
        <v/>
      </c>
      <c r="BS40" s="13" t="str">
        <f t="shared" si="61"/>
        <v/>
      </c>
      <c r="BT40" s="13" t="str">
        <f t="shared" si="61"/>
        <v/>
      </c>
      <c r="BU40" s="13" t="str">
        <f t="shared" si="61"/>
        <v/>
      </c>
      <c r="BV40" s="13" t="str">
        <f t="shared" si="61"/>
        <v/>
      </c>
      <c r="BW40" s="13" t="str">
        <f t="shared" si="61"/>
        <v/>
      </c>
      <c r="BX40" s="13" t="str">
        <f t="shared" si="61"/>
        <v/>
      </c>
      <c r="BY40" s="13" t="str">
        <f t="shared" si="61"/>
        <v/>
      </c>
      <c r="BZ40" s="13" t="str">
        <f t="shared" si="61"/>
        <v/>
      </c>
      <c r="CA40" s="13" t="str">
        <f t="shared" si="61"/>
        <v/>
      </c>
      <c r="CB40" s="13" t="str">
        <f t="shared" si="61"/>
        <v/>
      </c>
      <c r="CC40" s="13" t="str">
        <f t="shared" si="61"/>
        <v/>
      </c>
      <c r="CD40" s="13" t="str">
        <f t="shared" si="61"/>
        <v/>
      </c>
      <c r="CE40" s="13" t="str">
        <f t="shared" si="61"/>
        <v/>
      </c>
      <c r="CF40" s="13" t="str">
        <f t="shared" si="61"/>
        <v/>
      </c>
      <c r="CG40" s="13" t="str">
        <f t="shared" si="61"/>
        <v/>
      </c>
      <c r="CH40" s="13" t="str">
        <f t="shared" si="61"/>
        <v/>
      </c>
      <c r="CI40" s="13" t="str">
        <f t="shared" si="61"/>
        <v/>
      </c>
      <c r="CJ40" s="13" t="str">
        <f t="shared" si="61"/>
        <v/>
      </c>
      <c r="CK40" s="13" t="str">
        <f t="shared" si="61"/>
        <v/>
      </c>
      <c r="CL40" s="13" t="str">
        <f t="shared" si="61"/>
        <v/>
      </c>
      <c r="CM40" s="13" t="str">
        <f t="shared" si="61"/>
        <v/>
      </c>
      <c r="CN40" s="13" t="str">
        <f t="shared" si="61"/>
        <v/>
      </c>
      <c r="CO40" s="13" t="str">
        <f t="shared" si="61"/>
        <v/>
      </c>
      <c r="CP40" s="13" t="str">
        <f t="shared" si="61"/>
        <v/>
      </c>
      <c r="CQ40" s="13" t="str">
        <f t="shared" si="61"/>
        <v/>
      </c>
      <c r="CR40" s="13" t="str">
        <f t="shared" si="61"/>
        <v/>
      </c>
      <c r="CS40" s="13" t="str">
        <f t="shared" si="61"/>
        <v/>
      </c>
      <c r="CT40" s="13" t="str">
        <f t="shared" si="61"/>
        <v/>
      </c>
      <c r="CU40" s="13" t="str">
        <f t="shared" si="61"/>
        <v/>
      </c>
      <c r="CV40" s="13" t="str">
        <f t="shared" si="61"/>
        <v/>
      </c>
      <c r="CW40" s="13" t="str">
        <f t="shared" si="61"/>
        <v/>
      </c>
      <c r="CX40" s="13" t="str">
        <f t="shared" si="61"/>
        <v/>
      </c>
      <c r="CY40" s="13" t="str">
        <f t="shared" si="61"/>
        <v/>
      </c>
      <c r="CZ40" s="13" t="str">
        <f t="shared" si="61"/>
        <v/>
      </c>
      <c r="DA40" s="13" t="str">
        <f t="shared" si="61"/>
        <v/>
      </c>
      <c r="DB40" s="13" t="str">
        <f t="shared" si="61"/>
        <v/>
      </c>
      <c r="DC40" s="13" t="str">
        <f t="shared" si="61"/>
        <v/>
      </c>
      <c r="DD40" s="13" t="str">
        <f t="shared" si="61"/>
        <v/>
      </c>
      <c r="DE40" s="13" t="str">
        <f t="shared" si="61"/>
        <v/>
      </c>
      <c r="DF40" s="13" t="str">
        <f t="shared" si="61"/>
        <v/>
      </c>
      <c r="DG40" s="13" t="str">
        <f t="shared" si="60"/>
        <v/>
      </c>
      <c r="DH40" s="13" t="str">
        <f t="shared" si="60"/>
        <v/>
      </c>
      <c r="DI40" s="13" t="str">
        <f t="shared" si="60"/>
        <v/>
      </c>
      <c r="DJ40" s="13" t="str">
        <f t="shared" si="60"/>
        <v/>
      </c>
      <c r="DK40" s="13" t="str">
        <f t="shared" si="60"/>
        <v/>
      </c>
      <c r="DL40" s="13" t="str">
        <f t="shared" si="60"/>
        <v/>
      </c>
      <c r="DM40" s="13" t="str">
        <f t="shared" si="60"/>
        <v/>
      </c>
      <c r="DN40" s="13" t="str">
        <f t="shared" si="60"/>
        <v/>
      </c>
      <c r="DO40" s="13" t="str">
        <f t="shared" si="60"/>
        <v/>
      </c>
      <c r="DP40" s="13" t="str">
        <f t="shared" si="60"/>
        <v/>
      </c>
      <c r="DQ40" s="13" t="str">
        <f t="shared" si="60"/>
        <v/>
      </c>
      <c r="DR40" s="13" t="str">
        <f t="shared" si="60"/>
        <v/>
      </c>
      <c r="DS40" s="13" t="str">
        <f t="shared" si="60"/>
        <v/>
      </c>
      <c r="DT40" s="13" t="str">
        <f t="shared" si="60"/>
        <v/>
      </c>
      <c r="DU40" s="13" t="str">
        <f t="shared" si="60"/>
        <v/>
      </c>
      <c r="DV40" s="13" t="str">
        <f t="shared" si="60"/>
        <v/>
      </c>
      <c r="DW40" s="13" t="str">
        <f t="shared" si="60"/>
        <v/>
      </c>
      <c r="DX40" s="13" t="str">
        <f t="shared" si="60"/>
        <v/>
      </c>
      <c r="DY40" s="13" t="str">
        <f t="shared" si="60"/>
        <v/>
      </c>
      <c r="DZ40" s="13" t="str">
        <f t="shared" si="60"/>
        <v/>
      </c>
      <c r="EA40" s="13" t="str">
        <f t="shared" si="60"/>
        <v/>
      </c>
      <c r="EB40" s="13" t="str">
        <f t="shared" si="60"/>
        <v/>
      </c>
      <c r="EC40" s="13" t="str">
        <f t="shared" si="60"/>
        <v/>
      </c>
      <c r="ED40" s="13" t="str">
        <f t="shared" si="60"/>
        <v/>
      </c>
      <c r="EE40" s="13" t="str">
        <f t="shared" si="60"/>
        <v/>
      </c>
      <c r="EF40" s="13" t="str">
        <f t="shared" si="60"/>
        <v/>
      </c>
      <c r="EG40" s="13" t="str">
        <f t="shared" si="60"/>
        <v/>
      </c>
      <c r="EH40" s="13" t="str">
        <f t="shared" si="60"/>
        <v/>
      </c>
      <c r="EI40" s="13" t="str">
        <f t="shared" si="60"/>
        <v/>
      </c>
      <c r="EJ40" s="13" t="str">
        <f t="shared" si="60"/>
        <v/>
      </c>
      <c r="EK40" s="13" t="str">
        <f t="shared" si="60"/>
        <v/>
      </c>
      <c r="EL40" s="13" t="str">
        <f t="shared" si="60"/>
        <v/>
      </c>
      <c r="EM40" s="13" t="str">
        <f t="shared" si="60"/>
        <v/>
      </c>
      <c r="EN40" s="13" t="str">
        <f t="shared" si="60"/>
        <v/>
      </c>
      <c r="EO40" s="13" t="str">
        <f t="shared" si="60"/>
        <v/>
      </c>
      <c r="EP40" s="13" t="str">
        <f t="shared" si="60"/>
        <v/>
      </c>
      <c r="EQ40" s="13" t="str">
        <f t="shared" si="60"/>
        <v/>
      </c>
      <c r="ER40" s="13" t="str">
        <f t="shared" si="60"/>
        <v/>
      </c>
      <c r="ES40" s="13" t="str">
        <f t="shared" si="60"/>
        <v/>
      </c>
      <c r="ET40" s="13" t="str">
        <f t="shared" si="60"/>
        <v/>
      </c>
      <c r="EU40" s="13" t="str">
        <f t="shared" si="60"/>
        <v/>
      </c>
      <c r="EV40" s="13" t="str">
        <f t="shared" si="60"/>
        <v/>
      </c>
      <c r="EW40" s="13" t="str">
        <f t="shared" si="60"/>
        <v/>
      </c>
      <c r="EX40" s="13" t="str">
        <f t="shared" si="60"/>
        <v/>
      </c>
      <c r="EY40" s="13" t="str">
        <f t="shared" si="60"/>
        <v/>
      </c>
      <c r="EZ40" s="13" t="str">
        <f t="shared" si="60"/>
        <v/>
      </c>
      <c r="FA40" s="13" t="str">
        <f t="shared" si="60"/>
        <v/>
      </c>
      <c r="FB40" s="13" t="str">
        <f t="shared" si="60"/>
        <v/>
      </c>
      <c r="FC40" s="13" t="str">
        <f t="shared" si="60"/>
        <v/>
      </c>
      <c r="FD40" s="13" t="str">
        <f t="shared" si="60"/>
        <v/>
      </c>
      <c r="FE40" s="13" t="str">
        <f t="shared" si="60"/>
        <v/>
      </c>
      <c r="FF40" s="13" t="str">
        <f t="shared" si="60"/>
        <v/>
      </c>
      <c r="FG40" s="13" t="str">
        <f t="shared" si="60"/>
        <v/>
      </c>
      <c r="FH40" s="13" t="str">
        <f t="shared" si="60"/>
        <v/>
      </c>
      <c r="FI40" s="13" t="str">
        <f t="shared" si="60"/>
        <v/>
      </c>
      <c r="FJ40" s="13" t="str">
        <f t="shared" si="60"/>
        <v/>
      </c>
      <c r="FK40" s="13" t="str">
        <f t="shared" si="60"/>
        <v/>
      </c>
      <c r="FL40" s="13" t="str">
        <f t="shared" si="60"/>
        <v/>
      </c>
      <c r="FM40" s="13" t="str">
        <f t="shared" si="60"/>
        <v/>
      </c>
      <c r="FN40" s="13" t="str">
        <f t="shared" si="60"/>
        <v/>
      </c>
      <c r="FO40" s="13" t="str">
        <f t="shared" si="60"/>
        <v/>
      </c>
      <c r="FP40" s="13" t="str">
        <f t="shared" si="60"/>
        <v/>
      </c>
      <c r="FQ40" s="13" t="str">
        <f t="shared" si="60"/>
        <v/>
      </c>
      <c r="FR40" s="13" t="str">
        <f t="shared" si="38"/>
        <v/>
      </c>
      <c r="FS40" s="13" t="str">
        <f t="shared" si="58"/>
        <v/>
      </c>
      <c r="FT40" s="13" t="str">
        <f t="shared" si="58"/>
        <v/>
      </c>
      <c r="FU40" s="13" t="str">
        <f t="shared" si="58"/>
        <v/>
      </c>
      <c r="FV40" s="13" t="str">
        <f t="shared" si="58"/>
        <v/>
      </c>
      <c r="FW40" s="13" t="str">
        <f t="shared" si="58"/>
        <v/>
      </c>
      <c r="FX40" s="13" t="str">
        <f t="shared" si="58"/>
        <v/>
      </c>
      <c r="FY40" s="13" t="str">
        <f t="shared" si="58"/>
        <v/>
      </c>
      <c r="FZ40" s="13" t="str">
        <f t="shared" si="58"/>
        <v/>
      </c>
      <c r="GA40" s="13" t="str">
        <f t="shared" si="58"/>
        <v/>
      </c>
      <c r="GB40" s="13" t="str">
        <f t="shared" si="58"/>
        <v/>
      </c>
      <c r="GC40" s="13" t="str">
        <f t="shared" si="58"/>
        <v/>
      </c>
      <c r="GD40" s="13" t="str">
        <f t="shared" si="58"/>
        <v/>
      </c>
      <c r="GE40" s="13" t="str">
        <f t="shared" si="58"/>
        <v/>
      </c>
      <c r="GF40" s="13" t="str">
        <f t="shared" si="58"/>
        <v/>
      </c>
      <c r="GG40" s="13" t="str">
        <f t="shared" si="58"/>
        <v/>
      </c>
      <c r="GH40" s="13" t="str">
        <f t="shared" si="58"/>
        <v/>
      </c>
      <c r="GI40" s="13" t="str">
        <f t="shared" si="58"/>
        <v/>
      </c>
      <c r="GJ40" s="13" t="str">
        <f t="shared" si="58"/>
        <v/>
      </c>
      <c r="GK40" s="13" t="str">
        <f t="shared" si="58"/>
        <v/>
      </c>
      <c r="GL40" s="13" t="str">
        <f t="shared" si="58"/>
        <v/>
      </c>
      <c r="GM40" s="13" t="str">
        <f t="shared" si="58"/>
        <v/>
      </c>
      <c r="GN40" s="13" t="str">
        <f t="shared" si="58"/>
        <v/>
      </c>
      <c r="GO40" s="13" t="str">
        <f t="shared" si="58"/>
        <v/>
      </c>
      <c r="GP40" s="13" t="str">
        <f t="shared" si="58"/>
        <v/>
      </c>
      <c r="GQ40" s="13" t="str">
        <f t="shared" si="58"/>
        <v/>
      </c>
      <c r="GR40" s="13" t="str">
        <f t="shared" si="58"/>
        <v/>
      </c>
      <c r="GS40" s="13" t="str">
        <f t="shared" si="58"/>
        <v/>
      </c>
      <c r="GT40" s="13" t="str">
        <f t="shared" si="58"/>
        <v/>
      </c>
      <c r="GU40" s="13" t="str">
        <f t="shared" si="58"/>
        <v/>
      </c>
      <c r="GV40" s="13" t="str">
        <f t="shared" si="58"/>
        <v/>
      </c>
      <c r="GW40" s="13" t="str">
        <f t="shared" si="58"/>
        <v/>
      </c>
      <c r="GX40" s="13" t="str">
        <f t="shared" si="58"/>
        <v/>
      </c>
      <c r="GY40" s="13" t="str">
        <f t="shared" si="58"/>
        <v/>
      </c>
      <c r="GZ40" s="13" t="str">
        <f t="shared" si="58"/>
        <v/>
      </c>
      <c r="HA40" s="13" t="str">
        <f t="shared" si="58"/>
        <v/>
      </c>
      <c r="HB40" s="13" t="str">
        <f t="shared" si="58"/>
        <v/>
      </c>
      <c r="HC40" s="13" t="str">
        <f t="shared" si="58"/>
        <v/>
      </c>
      <c r="HD40" s="13" t="str">
        <f t="shared" si="58"/>
        <v/>
      </c>
      <c r="HE40" s="13" t="str">
        <f t="shared" si="58"/>
        <v/>
      </c>
      <c r="HF40" s="13" t="str">
        <f t="shared" si="58"/>
        <v/>
      </c>
      <c r="HG40" s="13" t="str">
        <f t="shared" si="58"/>
        <v/>
      </c>
      <c r="HH40" s="13" t="str">
        <f t="shared" si="58"/>
        <v/>
      </c>
      <c r="HI40" s="13" t="str">
        <f t="shared" si="58"/>
        <v/>
      </c>
      <c r="HJ40" s="13" t="str">
        <f t="shared" si="58"/>
        <v/>
      </c>
      <c r="HK40" s="13" t="str">
        <f t="shared" si="58"/>
        <v/>
      </c>
      <c r="HL40" s="13" t="str">
        <f t="shared" si="58"/>
        <v/>
      </c>
      <c r="HM40" s="13" t="str">
        <f t="shared" si="58"/>
        <v/>
      </c>
      <c r="HN40" s="13" t="str">
        <f t="shared" si="58"/>
        <v/>
      </c>
      <c r="HO40" s="13" t="str">
        <f t="shared" si="58"/>
        <v/>
      </c>
      <c r="HP40" s="13" t="str">
        <f t="shared" si="58"/>
        <v/>
      </c>
      <c r="HQ40" s="13" t="str">
        <f t="shared" si="58"/>
        <v/>
      </c>
      <c r="HR40" s="13" t="str">
        <f t="shared" si="58"/>
        <v/>
      </c>
      <c r="HS40" s="13" t="str">
        <f t="shared" si="58"/>
        <v/>
      </c>
      <c r="HT40" s="13" t="str">
        <f t="shared" si="58"/>
        <v/>
      </c>
      <c r="HU40" s="13" t="str">
        <f t="shared" si="58"/>
        <v/>
      </c>
      <c r="HV40" s="13" t="str">
        <f t="shared" si="58"/>
        <v/>
      </c>
      <c r="HW40" s="13" t="str">
        <f t="shared" si="58"/>
        <v/>
      </c>
      <c r="HX40" s="13" t="str">
        <f t="shared" si="58"/>
        <v/>
      </c>
      <c r="HY40" s="13" t="str">
        <f t="shared" si="58"/>
        <v/>
      </c>
      <c r="HZ40" s="13" t="str">
        <f t="shared" si="58"/>
        <v/>
      </c>
      <c r="IA40" s="13" t="str">
        <f t="shared" si="58"/>
        <v/>
      </c>
      <c r="IB40" s="13" t="str">
        <f t="shared" si="58"/>
        <v/>
      </c>
      <c r="IC40" s="13" t="str">
        <f t="shared" si="58"/>
        <v/>
      </c>
      <c r="ID40" s="13" t="str">
        <f t="shared" si="58"/>
        <v/>
      </c>
      <c r="IE40" s="13" t="str">
        <f t="shared" si="56"/>
        <v/>
      </c>
      <c r="IF40" s="13" t="str">
        <f t="shared" si="56"/>
        <v/>
      </c>
      <c r="IG40" s="13" t="str">
        <f t="shared" si="56"/>
        <v/>
      </c>
      <c r="IH40" s="13" t="str">
        <f t="shared" si="56"/>
        <v/>
      </c>
      <c r="II40" s="13" t="str">
        <f t="shared" si="56"/>
        <v/>
      </c>
      <c r="IJ40" s="13" t="str">
        <f t="shared" si="56"/>
        <v/>
      </c>
      <c r="IK40" s="13" t="str">
        <f t="shared" si="56"/>
        <v/>
      </c>
      <c r="IL40" s="13" t="str">
        <f t="shared" si="56"/>
        <v/>
      </c>
      <c r="IM40" s="13" t="str">
        <f t="shared" si="56"/>
        <v/>
      </c>
      <c r="IN40" s="13" t="str">
        <f t="shared" si="56"/>
        <v/>
      </c>
      <c r="IO40" s="13" t="str">
        <f t="shared" si="56"/>
        <v/>
      </c>
      <c r="IP40" s="13" t="str">
        <f t="shared" si="56"/>
        <v/>
      </c>
      <c r="IQ40" s="13" t="str">
        <f t="shared" si="56"/>
        <v/>
      </c>
      <c r="IR40" s="13" t="str">
        <f t="shared" si="56"/>
        <v/>
      </c>
      <c r="IS40" s="13" t="str">
        <f t="shared" si="56"/>
        <v/>
      </c>
      <c r="IT40" s="13" t="str">
        <f t="shared" si="56"/>
        <v/>
      </c>
      <c r="IU40" s="13" t="str">
        <f t="shared" si="56"/>
        <v/>
      </c>
      <c r="IV40" s="13" t="str">
        <f t="shared" si="56"/>
        <v/>
      </c>
      <c r="IW40" s="13" t="str">
        <f t="shared" si="56"/>
        <v/>
      </c>
      <c r="IX40" s="13" t="str">
        <f t="shared" si="56"/>
        <v/>
      </c>
      <c r="IY40" s="13" t="str">
        <f t="shared" si="56"/>
        <v/>
      </c>
      <c r="IZ40" s="13" t="str">
        <f t="shared" si="56"/>
        <v/>
      </c>
      <c r="JA40" s="13" t="str">
        <f t="shared" si="56"/>
        <v/>
      </c>
      <c r="JB40" s="13" t="str">
        <f t="shared" si="56"/>
        <v/>
      </c>
      <c r="JC40" s="13" t="str">
        <f t="shared" si="56"/>
        <v/>
      </c>
      <c r="JD40" s="13" t="str">
        <f t="shared" si="56"/>
        <v/>
      </c>
      <c r="JE40" s="13" t="str">
        <f t="shared" si="56"/>
        <v/>
      </c>
      <c r="JF40" s="13" t="str">
        <f t="shared" si="56"/>
        <v/>
      </c>
      <c r="JG40" s="13" t="str">
        <f t="shared" si="56"/>
        <v/>
      </c>
      <c r="JH40" s="13" t="str">
        <f t="shared" si="56"/>
        <v/>
      </c>
      <c r="JI40" s="13" t="str">
        <f t="shared" si="56"/>
        <v/>
      </c>
      <c r="JJ40" s="13" t="str">
        <f t="shared" si="56"/>
        <v/>
      </c>
      <c r="JK40" s="13" t="str">
        <f t="shared" si="56"/>
        <v/>
      </c>
      <c r="JL40" s="13" t="str">
        <f t="shared" si="56"/>
        <v/>
      </c>
      <c r="JM40" s="13" t="str">
        <f t="shared" si="56"/>
        <v/>
      </c>
      <c r="JN40" s="13" t="str">
        <f t="shared" si="56"/>
        <v/>
      </c>
      <c r="JO40" s="13" t="str">
        <f t="shared" si="56"/>
        <v/>
      </c>
      <c r="JP40" s="13" t="str">
        <f t="shared" si="56"/>
        <v/>
      </c>
      <c r="JQ40" s="13" t="str">
        <f t="shared" si="56"/>
        <v/>
      </c>
      <c r="JR40" s="13" t="str">
        <f t="shared" si="56"/>
        <v/>
      </c>
      <c r="JS40" s="13" t="str">
        <f t="shared" si="56"/>
        <v/>
      </c>
      <c r="JT40" s="13" t="str">
        <f t="shared" si="56"/>
        <v/>
      </c>
      <c r="JU40" s="13" t="str">
        <f t="shared" si="56"/>
        <v/>
      </c>
      <c r="JV40" s="13" t="str">
        <f t="shared" si="56"/>
        <v/>
      </c>
      <c r="JW40" s="13" t="str">
        <f t="shared" si="56"/>
        <v/>
      </c>
      <c r="JX40" s="13" t="str">
        <f t="shared" si="56"/>
        <v/>
      </c>
      <c r="JY40" s="13" t="str">
        <f t="shared" si="56"/>
        <v/>
      </c>
      <c r="JZ40" s="13" t="str">
        <f t="shared" si="56"/>
        <v/>
      </c>
      <c r="KA40" s="13" t="str">
        <f t="shared" si="56"/>
        <v/>
      </c>
      <c r="KB40" s="13" t="str">
        <f t="shared" si="56"/>
        <v/>
      </c>
      <c r="KC40" s="13" t="str">
        <f t="shared" si="56"/>
        <v/>
      </c>
      <c r="KD40" s="13" t="str">
        <f t="shared" si="56"/>
        <v/>
      </c>
      <c r="KE40" s="13" t="str">
        <f t="shared" si="56"/>
        <v/>
      </c>
      <c r="KF40" s="13" t="str">
        <f t="shared" si="56"/>
        <v/>
      </c>
      <c r="KG40" s="13" t="str">
        <f t="shared" si="56"/>
        <v/>
      </c>
      <c r="KH40" s="13" t="str">
        <f t="shared" si="56"/>
        <v/>
      </c>
      <c r="KI40" s="13" t="str">
        <f t="shared" si="56"/>
        <v/>
      </c>
      <c r="KJ40" s="13" t="str">
        <f t="shared" si="56"/>
        <v/>
      </c>
      <c r="KK40" s="13" t="str">
        <f t="shared" si="56"/>
        <v/>
      </c>
      <c r="KL40" s="13" t="str">
        <f t="shared" si="56"/>
        <v/>
      </c>
      <c r="KM40" s="13" t="str">
        <f t="shared" si="56"/>
        <v/>
      </c>
      <c r="KN40" s="13" t="str">
        <f t="shared" si="56"/>
        <v/>
      </c>
      <c r="KO40" s="13" t="str">
        <f t="shared" si="56"/>
        <v/>
      </c>
      <c r="KP40" s="13" t="str">
        <f t="shared" si="47"/>
        <v/>
      </c>
      <c r="KQ40" s="13" t="str">
        <f t="shared" si="47"/>
        <v/>
      </c>
      <c r="KR40" s="13" t="str">
        <f t="shared" si="47"/>
        <v/>
      </c>
      <c r="KS40" s="13" t="str">
        <f t="shared" si="44"/>
        <v/>
      </c>
      <c r="KT40" s="13" t="str">
        <f t="shared" si="59"/>
        <v/>
      </c>
      <c r="KU40" s="13" t="str">
        <f t="shared" si="59"/>
        <v/>
      </c>
      <c r="KV40" s="13" t="str">
        <f t="shared" si="59"/>
        <v/>
      </c>
      <c r="KW40" s="13" t="str">
        <f t="shared" si="59"/>
        <v/>
      </c>
      <c r="KX40" s="13" t="str">
        <f t="shared" si="59"/>
        <v/>
      </c>
      <c r="KY40" s="13" t="str">
        <f t="shared" si="59"/>
        <v/>
      </c>
      <c r="KZ40" s="13" t="str">
        <f t="shared" si="59"/>
        <v/>
      </c>
      <c r="LA40" s="13" t="str">
        <f t="shared" si="59"/>
        <v/>
      </c>
      <c r="LB40" s="13" t="str">
        <f t="shared" si="59"/>
        <v/>
      </c>
      <c r="LC40" s="13" t="str">
        <f t="shared" si="59"/>
        <v/>
      </c>
      <c r="LD40" s="13" t="str">
        <f t="shared" si="59"/>
        <v/>
      </c>
      <c r="LE40" s="13" t="str">
        <f t="shared" si="59"/>
        <v/>
      </c>
      <c r="LF40" s="13" t="str">
        <f t="shared" si="59"/>
        <v/>
      </c>
      <c r="LG40" s="13" t="str">
        <f t="shared" si="59"/>
        <v/>
      </c>
      <c r="LH40" s="13" t="str">
        <f t="shared" si="59"/>
        <v/>
      </c>
      <c r="LI40" s="13" t="str">
        <f t="shared" si="59"/>
        <v/>
      </c>
      <c r="LJ40" s="13" t="str">
        <f t="shared" si="59"/>
        <v/>
      </c>
      <c r="LK40" s="13" t="str">
        <f t="shared" si="59"/>
        <v/>
      </c>
      <c r="LL40" s="13" t="str">
        <f t="shared" si="59"/>
        <v/>
      </c>
      <c r="LM40" s="13" t="str">
        <f t="shared" si="59"/>
        <v/>
      </c>
      <c r="LN40" s="13" t="str">
        <f t="shared" si="59"/>
        <v/>
      </c>
      <c r="LO40" s="13" t="str">
        <f t="shared" si="59"/>
        <v/>
      </c>
      <c r="LP40" s="13" t="str">
        <f t="shared" si="59"/>
        <v/>
      </c>
      <c r="LQ40" s="13" t="str">
        <f t="shared" si="59"/>
        <v/>
      </c>
      <c r="LR40" s="13" t="str">
        <f t="shared" si="59"/>
        <v/>
      </c>
      <c r="LS40" s="13" t="str">
        <f t="shared" si="59"/>
        <v/>
      </c>
      <c r="LT40" s="13" t="str">
        <f t="shared" si="59"/>
        <v/>
      </c>
      <c r="LU40" s="13" t="str">
        <f t="shared" si="59"/>
        <v/>
      </c>
      <c r="LV40" s="13" t="str">
        <f t="shared" si="59"/>
        <v/>
      </c>
      <c r="LW40" s="13" t="str">
        <f t="shared" si="59"/>
        <v/>
      </c>
      <c r="LX40" s="13" t="str">
        <f t="shared" si="59"/>
        <v/>
      </c>
      <c r="LY40" s="13" t="str">
        <f t="shared" si="59"/>
        <v/>
      </c>
      <c r="LZ40" s="13" t="str">
        <f t="shared" si="59"/>
        <v/>
      </c>
      <c r="MA40" s="13" t="str">
        <f t="shared" si="59"/>
        <v/>
      </c>
      <c r="MB40" s="13" t="str">
        <f t="shared" si="59"/>
        <v/>
      </c>
      <c r="MC40" s="13" t="str">
        <f t="shared" si="59"/>
        <v/>
      </c>
      <c r="MD40" s="13" t="str">
        <f t="shared" si="59"/>
        <v/>
      </c>
      <c r="ME40" s="13" t="str">
        <f t="shared" si="59"/>
        <v/>
      </c>
      <c r="MF40" s="13" t="str">
        <f t="shared" si="59"/>
        <v/>
      </c>
      <c r="MG40" s="13" t="str">
        <f t="shared" si="59"/>
        <v/>
      </c>
    </row>
    <row r="41" spans="1:345" x14ac:dyDescent="0.2">
      <c r="A41" s="32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V41" s="8" t="str">
        <f t="shared" si="19"/>
        <v/>
      </c>
      <c r="W41" s="38" t="e">
        <f t="shared" si="7"/>
        <v>#N/A</v>
      </c>
      <c r="X41" s="38" t="e">
        <f t="shared" si="8"/>
        <v>#N/A</v>
      </c>
      <c r="Y41" s="45" t="str">
        <f t="shared" si="9"/>
        <v/>
      </c>
      <c r="Z41" s="40" t="str">
        <f t="shared" si="10"/>
        <v/>
      </c>
      <c r="AA41" s="49" t="e">
        <f t="shared" si="11"/>
        <v>#N/A</v>
      </c>
      <c r="AB41" s="40" t="str">
        <f t="shared" si="12"/>
        <v/>
      </c>
      <c r="AC41" s="49" t="e">
        <f t="shared" si="13"/>
        <v>#N/A</v>
      </c>
      <c r="AE41" s="9" t="str">
        <f t="shared" si="20"/>
        <v/>
      </c>
      <c r="AF41" s="9" t="str">
        <f t="shared" si="21"/>
        <v/>
      </c>
      <c r="AG41" s="9" t="str">
        <f t="shared" si="22"/>
        <v/>
      </c>
      <c r="AH41" s="9" t="str">
        <f t="shared" si="23"/>
        <v/>
      </c>
      <c r="AI41" s="9" t="str">
        <f t="shared" si="24"/>
        <v/>
      </c>
      <c r="AJ41" s="9" t="str">
        <f t="shared" si="25"/>
        <v/>
      </c>
      <c r="AK41" s="9" t="str">
        <f t="shared" si="26"/>
        <v/>
      </c>
      <c r="AL41" s="9" t="str">
        <f t="shared" si="27"/>
        <v/>
      </c>
      <c r="AM41" s="9" t="str">
        <f t="shared" si="28"/>
        <v/>
      </c>
      <c r="AN41" s="9" t="str">
        <f t="shared" si="29"/>
        <v/>
      </c>
      <c r="AO41" s="10" t="str">
        <f t="shared" si="30"/>
        <v/>
      </c>
      <c r="AP41" s="11">
        <f t="shared" si="31"/>
        <v>0</v>
      </c>
      <c r="AR41" s="13" t="str">
        <f t="shared" si="52"/>
        <v/>
      </c>
      <c r="AS41" s="13" t="str">
        <f t="shared" si="53"/>
        <v/>
      </c>
      <c r="AT41" s="13" t="str">
        <f t="shared" si="33"/>
        <v/>
      </c>
      <c r="AU41" s="13" t="str">
        <f t="shared" si="61"/>
        <v/>
      </c>
      <c r="AV41" s="13" t="str">
        <f t="shared" si="61"/>
        <v/>
      </c>
      <c r="AW41" s="13" t="str">
        <f t="shared" si="61"/>
        <v/>
      </c>
      <c r="AX41" s="13" t="str">
        <f t="shared" si="61"/>
        <v/>
      </c>
      <c r="AY41" s="13" t="str">
        <f t="shared" si="61"/>
        <v/>
      </c>
      <c r="AZ41" s="13" t="str">
        <f t="shared" si="61"/>
        <v/>
      </c>
      <c r="BA41" s="13" t="str">
        <f t="shared" si="61"/>
        <v/>
      </c>
      <c r="BB41" s="13" t="str">
        <f t="shared" si="61"/>
        <v/>
      </c>
      <c r="BC41" s="13" t="str">
        <f t="shared" si="61"/>
        <v/>
      </c>
      <c r="BD41" s="13" t="str">
        <f t="shared" si="61"/>
        <v/>
      </c>
      <c r="BE41" s="13" t="str">
        <f t="shared" si="61"/>
        <v/>
      </c>
      <c r="BF41" s="13" t="str">
        <f t="shared" si="61"/>
        <v/>
      </c>
      <c r="BG41" s="13" t="str">
        <f t="shared" si="61"/>
        <v/>
      </c>
      <c r="BH41" s="13" t="str">
        <f t="shared" si="61"/>
        <v/>
      </c>
      <c r="BI41" s="13" t="str">
        <f t="shared" si="61"/>
        <v/>
      </c>
      <c r="BJ41" s="13" t="str">
        <f t="shared" si="61"/>
        <v/>
      </c>
      <c r="BK41" s="13" t="str">
        <f t="shared" si="61"/>
        <v/>
      </c>
      <c r="BL41" s="13" t="str">
        <f t="shared" si="61"/>
        <v/>
      </c>
      <c r="BM41" s="13" t="str">
        <f t="shared" si="61"/>
        <v/>
      </c>
      <c r="BN41" s="13" t="str">
        <f t="shared" si="61"/>
        <v/>
      </c>
      <c r="BO41" s="13" t="str">
        <f t="shared" si="61"/>
        <v/>
      </c>
      <c r="BP41" s="13" t="str">
        <f t="shared" si="61"/>
        <v/>
      </c>
      <c r="BQ41" s="13" t="str">
        <f t="shared" si="61"/>
        <v/>
      </c>
      <c r="BR41" s="13" t="str">
        <f t="shared" si="61"/>
        <v/>
      </c>
      <c r="BS41" s="13" t="str">
        <f t="shared" si="61"/>
        <v/>
      </c>
      <c r="BT41" s="13" t="str">
        <f t="shared" si="61"/>
        <v/>
      </c>
      <c r="BU41" s="13" t="str">
        <f t="shared" si="61"/>
        <v/>
      </c>
      <c r="BV41" s="13" t="str">
        <f t="shared" si="61"/>
        <v/>
      </c>
      <c r="BW41" s="13" t="str">
        <f t="shared" si="61"/>
        <v/>
      </c>
      <c r="BX41" s="13" t="str">
        <f t="shared" si="61"/>
        <v/>
      </c>
      <c r="BY41" s="13" t="str">
        <f t="shared" si="61"/>
        <v/>
      </c>
      <c r="BZ41" s="13" t="str">
        <f t="shared" si="61"/>
        <v/>
      </c>
      <c r="CA41" s="13" t="str">
        <f t="shared" si="61"/>
        <v/>
      </c>
      <c r="CB41" s="13" t="str">
        <f t="shared" si="61"/>
        <v/>
      </c>
      <c r="CC41" s="13" t="str">
        <f t="shared" si="61"/>
        <v/>
      </c>
      <c r="CD41" s="13" t="str">
        <f t="shared" si="61"/>
        <v/>
      </c>
      <c r="CE41" s="13" t="str">
        <f t="shared" si="61"/>
        <v/>
      </c>
      <c r="CF41" s="13" t="str">
        <f t="shared" si="61"/>
        <v/>
      </c>
      <c r="CG41" s="13" t="str">
        <f t="shared" si="61"/>
        <v/>
      </c>
      <c r="CH41" s="13" t="str">
        <f t="shared" si="61"/>
        <v/>
      </c>
      <c r="CI41" s="13" t="str">
        <f t="shared" si="61"/>
        <v/>
      </c>
      <c r="CJ41" s="13" t="str">
        <f t="shared" si="61"/>
        <v/>
      </c>
      <c r="CK41" s="13" t="str">
        <f t="shared" si="61"/>
        <v/>
      </c>
      <c r="CL41" s="13" t="str">
        <f t="shared" si="61"/>
        <v/>
      </c>
      <c r="CM41" s="13" t="str">
        <f t="shared" si="61"/>
        <v/>
      </c>
      <c r="CN41" s="13" t="str">
        <f t="shared" si="61"/>
        <v/>
      </c>
      <c r="CO41" s="13" t="str">
        <f t="shared" si="61"/>
        <v/>
      </c>
      <c r="CP41" s="13" t="str">
        <f t="shared" si="61"/>
        <v/>
      </c>
      <c r="CQ41" s="13" t="str">
        <f t="shared" si="61"/>
        <v/>
      </c>
      <c r="CR41" s="13" t="str">
        <f t="shared" si="61"/>
        <v/>
      </c>
      <c r="CS41" s="13" t="str">
        <f t="shared" si="61"/>
        <v/>
      </c>
      <c r="CT41" s="13" t="str">
        <f t="shared" si="61"/>
        <v/>
      </c>
      <c r="CU41" s="13" t="str">
        <f t="shared" si="61"/>
        <v/>
      </c>
      <c r="CV41" s="13" t="str">
        <f t="shared" si="61"/>
        <v/>
      </c>
      <c r="CW41" s="13" t="str">
        <f t="shared" si="61"/>
        <v/>
      </c>
      <c r="CX41" s="13" t="str">
        <f t="shared" si="61"/>
        <v/>
      </c>
      <c r="CY41" s="13" t="str">
        <f t="shared" si="61"/>
        <v/>
      </c>
      <c r="CZ41" s="13" t="str">
        <f t="shared" si="61"/>
        <v/>
      </c>
      <c r="DA41" s="13" t="str">
        <f t="shared" si="61"/>
        <v/>
      </c>
      <c r="DB41" s="13" t="str">
        <f t="shared" si="61"/>
        <v/>
      </c>
      <c r="DC41" s="13" t="str">
        <f t="shared" si="61"/>
        <v/>
      </c>
      <c r="DD41" s="13" t="str">
        <f t="shared" si="61"/>
        <v/>
      </c>
      <c r="DE41" s="13" t="str">
        <f t="shared" si="61"/>
        <v/>
      </c>
      <c r="DF41" s="13" t="str">
        <f t="shared" si="61"/>
        <v/>
      </c>
      <c r="DG41" s="13" t="str">
        <f t="shared" si="60"/>
        <v/>
      </c>
      <c r="DH41" s="13" t="str">
        <f t="shared" si="60"/>
        <v/>
      </c>
      <c r="DI41" s="13" t="str">
        <f t="shared" si="60"/>
        <v/>
      </c>
      <c r="DJ41" s="13" t="str">
        <f t="shared" si="60"/>
        <v/>
      </c>
      <c r="DK41" s="13" t="str">
        <f t="shared" si="60"/>
        <v/>
      </c>
      <c r="DL41" s="13" t="str">
        <f t="shared" si="60"/>
        <v/>
      </c>
      <c r="DM41" s="13" t="str">
        <f t="shared" si="60"/>
        <v/>
      </c>
      <c r="DN41" s="13" t="str">
        <f t="shared" si="60"/>
        <v/>
      </c>
      <c r="DO41" s="13" t="str">
        <f t="shared" si="60"/>
        <v/>
      </c>
      <c r="DP41" s="13" t="str">
        <f t="shared" si="60"/>
        <v/>
      </c>
      <c r="DQ41" s="13" t="str">
        <f t="shared" si="60"/>
        <v/>
      </c>
      <c r="DR41" s="13" t="str">
        <f t="shared" si="60"/>
        <v/>
      </c>
      <c r="DS41" s="13" t="str">
        <f t="shared" si="60"/>
        <v/>
      </c>
      <c r="DT41" s="13" t="str">
        <f t="shared" si="60"/>
        <v/>
      </c>
      <c r="DU41" s="13" t="str">
        <f t="shared" si="60"/>
        <v/>
      </c>
      <c r="DV41" s="13" t="str">
        <f t="shared" si="60"/>
        <v/>
      </c>
      <c r="DW41" s="13" t="str">
        <f t="shared" si="60"/>
        <v/>
      </c>
      <c r="DX41" s="13" t="str">
        <f t="shared" si="60"/>
        <v/>
      </c>
      <c r="DY41" s="13" t="str">
        <f t="shared" si="60"/>
        <v/>
      </c>
      <c r="DZ41" s="13" t="str">
        <f t="shared" si="60"/>
        <v/>
      </c>
      <c r="EA41" s="13" t="str">
        <f t="shared" si="60"/>
        <v/>
      </c>
      <c r="EB41" s="13" t="str">
        <f t="shared" si="60"/>
        <v/>
      </c>
      <c r="EC41" s="13" t="str">
        <f t="shared" si="60"/>
        <v/>
      </c>
      <c r="ED41" s="13" t="str">
        <f t="shared" si="60"/>
        <v/>
      </c>
      <c r="EE41" s="13" t="str">
        <f t="shared" si="60"/>
        <v/>
      </c>
      <c r="EF41" s="13" t="str">
        <f t="shared" si="60"/>
        <v/>
      </c>
      <c r="EG41" s="13" t="str">
        <f t="shared" si="60"/>
        <v/>
      </c>
      <c r="EH41" s="13" t="str">
        <f t="shared" si="60"/>
        <v/>
      </c>
      <c r="EI41" s="13" t="str">
        <f t="shared" si="60"/>
        <v/>
      </c>
      <c r="EJ41" s="13" t="str">
        <f t="shared" si="60"/>
        <v/>
      </c>
      <c r="EK41" s="13" t="str">
        <f t="shared" si="60"/>
        <v/>
      </c>
      <c r="EL41" s="13" t="str">
        <f t="shared" si="60"/>
        <v/>
      </c>
      <c r="EM41" s="13" t="str">
        <f t="shared" si="60"/>
        <v/>
      </c>
      <c r="EN41" s="13" t="str">
        <f t="shared" si="60"/>
        <v/>
      </c>
      <c r="EO41" s="13" t="str">
        <f t="shared" si="60"/>
        <v/>
      </c>
      <c r="EP41" s="13" t="str">
        <f t="shared" si="60"/>
        <v/>
      </c>
      <c r="EQ41" s="13" t="str">
        <f t="shared" si="60"/>
        <v/>
      </c>
      <c r="ER41" s="13" t="str">
        <f t="shared" si="60"/>
        <v/>
      </c>
      <c r="ES41" s="13" t="str">
        <f t="shared" si="60"/>
        <v/>
      </c>
      <c r="ET41" s="13" t="str">
        <f t="shared" si="60"/>
        <v/>
      </c>
      <c r="EU41" s="13" t="str">
        <f t="shared" si="60"/>
        <v/>
      </c>
      <c r="EV41" s="13" t="str">
        <f t="shared" si="60"/>
        <v/>
      </c>
      <c r="EW41" s="13" t="str">
        <f t="shared" si="60"/>
        <v/>
      </c>
      <c r="EX41" s="13" t="str">
        <f t="shared" si="60"/>
        <v/>
      </c>
      <c r="EY41" s="13" t="str">
        <f t="shared" si="60"/>
        <v/>
      </c>
      <c r="EZ41" s="13" t="str">
        <f t="shared" si="60"/>
        <v/>
      </c>
      <c r="FA41" s="13" t="str">
        <f t="shared" si="60"/>
        <v/>
      </c>
      <c r="FB41" s="13" t="str">
        <f t="shared" si="60"/>
        <v/>
      </c>
      <c r="FC41" s="13" t="str">
        <f t="shared" si="60"/>
        <v/>
      </c>
      <c r="FD41" s="13" t="str">
        <f t="shared" si="60"/>
        <v/>
      </c>
      <c r="FE41" s="13" t="str">
        <f t="shared" si="60"/>
        <v/>
      </c>
      <c r="FF41" s="13" t="str">
        <f t="shared" si="60"/>
        <v/>
      </c>
      <c r="FG41" s="13" t="str">
        <f t="shared" si="60"/>
        <v/>
      </c>
      <c r="FH41" s="13" t="str">
        <f t="shared" si="60"/>
        <v/>
      </c>
      <c r="FI41" s="13" t="str">
        <f t="shared" si="60"/>
        <v/>
      </c>
      <c r="FJ41" s="13" t="str">
        <f t="shared" si="60"/>
        <v/>
      </c>
      <c r="FK41" s="13" t="str">
        <f t="shared" si="60"/>
        <v/>
      </c>
      <c r="FL41" s="13" t="str">
        <f t="shared" si="60"/>
        <v/>
      </c>
      <c r="FM41" s="13" t="str">
        <f t="shared" si="60"/>
        <v/>
      </c>
      <c r="FN41" s="13" t="str">
        <f t="shared" si="60"/>
        <v/>
      </c>
      <c r="FO41" s="13" t="str">
        <f t="shared" si="60"/>
        <v/>
      </c>
      <c r="FP41" s="13" t="str">
        <f t="shared" si="60"/>
        <v/>
      </c>
      <c r="FQ41" s="13" t="str">
        <f t="shared" si="60"/>
        <v/>
      </c>
      <c r="FR41" s="13" t="str">
        <f t="shared" si="38"/>
        <v/>
      </c>
      <c r="FS41" s="13" t="str">
        <f t="shared" si="58"/>
        <v/>
      </c>
      <c r="FT41" s="13" t="str">
        <f t="shared" si="58"/>
        <v/>
      </c>
      <c r="FU41" s="13" t="str">
        <f t="shared" si="58"/>
        <v/>
      </c>
      <c r="FV41" s="13" t="str">
        <f t="shared" si="58"/>
        <v/>
      </c>
      <c r="FW41" s="13" t="str">
        <f t="shared" si="58"/>
        <v/>
      </c>
      <c r="FX41" s="13" t="str">
        <f t="shared" si="58"/>
        <v/>
      </c>
      <c r="FY41" s="13" t="str">
        <f t="shared" si="58"/>
        <v/>
      </c>
      <c r="FZ41" s="13" t="str">
        <f t="shared" si="58"/>
        <v/>
      </c>
      <c r="GA41" s="13" t="str">
        <f t="shared" si="58"/>
        <v/>
      </c>
      <c r="GB41" s="13" t="str">
        <f t="shared" si="58"/>
        <v/>
      </c>
      <c r="GC41" s="13" t="str">
        <f t="shared" si="58"/>
        <v/>
      </c>
      <c r="GD41" s="13" t="str">
        <f t="shared" si="58"/>
        <v/>
      </c>
      <c r="GE41" s="13" t="str">
        <f t="shared" si="58"/>
        <v/>
      </c>
      <c r="GF41" s="13" t="str">
        <f t="shared" si="58"/>
        <v/>
      </c>
      <c r="GG41" s="13" t="str">
        <f t="shared" si="58"/>
        <v/>
      </c>
      <c r="GH41" s="13" t="str">
        <f t="shared" si="58"/>
        <v/>
      </c>
      <c r="GI41" s="13" t="str">
        <f t="shared" si="58"/>
        <v/>
      </c>
      <c r="GJ41" s="13" t="str">
        <f t="shared" si="58"/>
        <v/>
      </c>
      <c r="GK41" s="13" t="str">
        <f t="shared" si="58"/>
        <v/>
      </c>
      <c r="GL41" s="13" t="str">
        <f t="shared" si="58"/>
        <v/>
      </c>
      <c r="GM41" s="13" t="str">
        <f t="shared" si="58"/>
        <v/>
      </c>
      <c r="GN41" s="13" t="str">
        <f t="shared" si="58"/>
        <v/>
      </c>
      <c r="GO41" s="13" t="str">
        <f t="shared" si="58"/>
        <v/>
      </c>
      <c r="GP41" s="13" t="str">
        <f t="shared" si="58"/>
        <v/>
      </c>
      <c r="GQ41" s="13" t="str">
        <f t="shared" si="58"/>
        <v/>
      </c>
      <c r="GR41" s="13" t="str">
        <f t="shared" si="58"/>
        <v/>
      </c>
      <c r="GS41" s="13" t="str">
        <f t="shared" si="58"/>
        <v/>
      </c>
      <c r="GT41" s="13" t="str">
        <f t="shared" si="58"/>
        <v/>
      </c>
      <c r="GU41" s="13" t="str">
        <f t="shared" si="58"/>
        <v/>
      </c>
      <c r="GV41" s="13" t="str">
        <f t="shared" si="58"/>
        <v/>
      </c>
      <c r="GW41" s="13" t="str">
        <f t="shared" si="58"/>
        <v/>
      </c>
      <c r="GX41" s="13" t="str">
        <f t="shared" si="58"/>
        <v/>
      </c>
      <c r="GY41" s="13" t="str">
        <f t="shared" si="58"/>
        <v/>
      </c>
      <c r="GZ41" s="13" t="str">
        <f t="shared" si="58"/>
        <v/>
      </c>
      <c r="HA41" s="13" t="str">
        <f t="shared" si="58"/>
        <v/>
      </c>
      <c r="HB41" s="13" t="str">
        <f t="shared" si="58"/>
        <v/>
      </c>
      <c r="HC41" s="13" t="str">
        <f t="shared" si="58"/>
        <v/>
      </c>
      <c r="HD41" s="13" t="str">
        <f t="shared" si="58"/>
        <v/>
      </c>
      <c r="HE41" s="13" t="str">
        <f t="shared" si="58"/>
        <v/>
      </c>
      <c r="HF41" s="13" t="str">
        <f t="shared" si="58"/>
        <v/>
      </c>
      <c r="HG41" s="13" t="str">
        <f t="shared" si="58"/>
        <v/>
      </c>
      <c r="HH41" s="13" t="str">
        <f t="shared" si="58"/>
        <v/>
      </c>
      <c r="HI41" s="13" t="str">
        <f t="shared" si="58"/>
        <v/>
      </c>
      <c r="HJ41" s="13" t="str">
        <f t="shared" si="58"/>
        <v/>
      </c>
      <c r="HK41" s="13" t="str">
        <f t="shared" si="58"/>
        <v/>
      </c>
      <c r="HL41" s="13" t="str">
        <f t="shared" si="58"/>
        <v/>
      </c>
      <c r="HM41" s="13" t="str">
        <f t="shared" si="58"/>
        <v/>
      </c>
      <c r="HN41" s="13" t="str">
        <f t="shared" si="58"/>
        <v/>
      </c>
      <c r="HO41" s="13" t="str">
        <f t="shared" si="58"/>
        <v/>
      </c>
      <c r="HP41" s="13" t="str">
        <f t="shared" si="58"/>
        <v/>
      </c>
      <c r="HQ41" s="13" t="str">
        <f t="shared" si="58"/>
        <v/>
      </c>
      <c r="HR41" s="13" t="str">
        <f t="shared" si="58"/>
        <v/>
      </c>
      <c r="HS41" s="13" t="str">
        <f t="shared" si="58"/>
        <v/>
      </c>
      <c r="HT41" s="13" t="str">
        <f t="shared" si="58"/>
        <v/>
      </c>
      <c r="HU41" s="13" t="str">
        <f t="shared" si="58"/>
        <v/>
      </c>
      <c r="HV41" s="13" t="str">
        <f t="shared" si="58"/>
        <v/>
      </c>
      <c r="HW41" s="13" t="str">
        <f t="shared" si="58"/>
        <v/>
      </c>
      <c r="HX41" s="13" t="str">
        <f t="shared" si="58"/>
        <v/>
      </c>
      <c r="HY41" s="13" t="str">
        <f t="shared" si="58"/>
        <v/>
      </c>
      <c r="HZ41" s="13" t="str">
        <f t="shared" si="58"/>
        <v/>
      </c>
      <c r="IA41" s="13" t="str">
        <f t="shared" si="58"/>
        <v/>
      </c>
      <c r="IB41" s="13" t="str">
        <f t="shared" si="58"/>
        <v/>
      </c>
      <c r="IC41" s="13" t="str">
        <f t="shared" si="58"/>
        <v/>
      </c>
      <c r="ID41" s="13" t="str">
        <f t="shared" ref="ID41:KO44" si="62">IF(ID70&gt;0,TEXT(ID$50,"R"&amp;0)&amp;", ","")</f>
        <v/>
      </c>
      <c r="IE41" s="13" t="str">
        <f t="shared" si="62"/>
        <v/>
      </c>
      <c r="IF41" s="13" t="str">
        <f t="shared" si="62"/>
        <v/>
      </c>
      <c r="IG41" s="13" t="str">
        <f t="shared" si="62"/>
        <v/>
      </c>
      <c r="IH41" s="13" t="str">
        <f t="shared" si="62"/>
        <v/>
      </c>
      <c r="II41" s="13" t="str">
        <f t="shared" si="62"/>
        <v/>
      </c>
      <c r="IJ41" s="13" t="str">
        <f t="shared" si="62"/>
        <v/>
      </c>
      <c r="IK41" s="13" t="str">
        <f t="shared" si="62"/>
        <v/>
      </c>
      <c r="IL41" s="13" t="str">
        <f t="shared" si="62"/>
        <v/>
      </c>
      <c r="IM41" s="13" t="str">
        <f t="shared" si="62"/>
        <v/>
      </c>
      <c r="IN41" s="13" t="str">
        <f t="shared" si="62"/>
        <v/>
      </c>
      <c r="IO41" s="13" t="str">
        <f t="shared" si="62"/>
        <v/>
      </c>
      <c r="IP41" s="13" t="str">
        <f t="shared" si="62"/>
        <v/>
      </c>
      <c r="IQ41" s="13" t="str">
        <f t="shared" si="62"/>
        <v/>
      </c>
      <c r="IR41" s="13" t="str">
        <f t="shared" si="62"/>
        <v/>
      </c>
      <c r="IS41" s="13" t="str">
        <f t="shared" si="62"/>
        <v/>
      </c>
      <c r="IT41" s="13" t="str">
        <f t="shared" si="62"/>
        <v/>
      </c>
      <c r="IU41" s="13" t="str">
        <f t="shared" si="62"/>
        <v/>
      </c>
      <c r="IV41" s="13" t="str">
        <f t="shared" si="62"/>
        <v/>
      </c>
      <c r="IW41" s="13" t="str">
        <f t="shared" si="62"/>
        <v/>
      </c>
      <c r="IX41" s="13" t="str">
        <f t="shared" si="62"/>
        <v/>
      </c>
      <c r="IY41" s="13" t="str">
        <f t="shared" si="62"/>
        <v/>
      </c>
      <c r="IZ41" s="13" t="str">
        <f t="shared" si="62"/>
        <v/>
      </c>
      <c r="JA41" s="13" t="str">
        <f t="shared" si="62"/>
        <v/>
      </c>
      <c r="JB41" s="13" t="str">
        <f t="shared" si="62"/>
        <v/>
      </c>
      <c r="JC41" s="13" t="str">
        <f t="shared" si="62"/>
        <v/>
      </c>
      <c r="JD41" s="13" t="str">
        <f t="shared" si="62"/>
        <v/>
      </c>
      <c r="JE41" s="13" t="str">
        <f t="shared" si="62"/>
        <v/>
      </c>
      <c r="JF41" s="13" t="str">
        <f t="shared" si="62"/>
        <v/>
      </c>
      <c r="JG41" s="13" t="str">
        <f t="shared" si="62"/>
        <v/>
      </c>
      <c r="JH41" s="13" t="str">
        <f t="shared" si="62"/>
        <v/>
      </c>
      <c r="JI41" s="13" t="str">
        <f t="shared" si="62"/>
        <v/>
      </c>
      <c r="JJ41" s="13" t="str">
        <f t="shared" si="62"/>
        <v/>
      </c>
      <c r="JK41" s="13" t="str">
        <f t="shared" si="62"/>
        <v/>
      </c>
      <c r="JL41" s="13" t="str">
        <f t="shared" si="62"/>
        <v/>
      </c>
      <c r="JM41" s="13" t="str">
        <f t="shared" si="62"/>
        <v/>
      </c>
      <c r="JN41" s="13" t="str">
        <f t="shared" si="62"/>
        <v/>
      </c>
      <c r="JO41" s="13" t="str">
        <f t="shared" si="62"/>
        <v/>
      </c>
      <c r="JP41" s="13" t="str">
        <f t="shared" si="62"/>
        <v/>
      </c>
      <c r="JQ41" s="13" t="str">
        <f t="shared" si="62"/>
        <v/>
      </c>
      <c r="JR41" s="13" t="str">
        <f t="shared" si="62"/>
        <v/>
      </c>
      <c r="JS41" s="13" t="str">
        <f t="shared" si="62"/>
        <v/>
      </c>
      <c r="JT41" s="13" t="str">
        <f t="shared" si="62"/>
        <v/>
      </c>
      <c r="JU41" s="13" t="str">
        <f t="shared" si="62"/>
        <v/>
      </c>
      <c r="JV41" s="13" t="str">
        <f t="shared" si="62"/>
        <v/>
      </c>
      <c r="JW41" s="13" t="str">
        <f t="shared" si="62"/>
        <v/>
      </c>
      <c r="JX41" s="13" t="str">
        <f t="shared" si="62"/>
        <v/>
      </c>
      <c r="JY41" s="13" t="str">
        <f t="shared" si="62"/>
        <v/>
      </c>
      <c r="JZ41" s="13" t="str">
        <f t="shared" si="62"/>
        <v/>
      </c>
      <c r="KA41" s="13" t="str">
        <f t="shared" si="62"/>
        <v/>
      </c>
      <c r="KB41" s="13" t="str">
        <f t="shared" si="62"/>
        <v/>
      </c>
      <c r="KC41" s="13" t="str">
        <f t="shared" si="62"/>
        <v/>
      </c>
      <c r="KD41" s="13" t="str">
        <f t="shared" si="62"/>
        <v/>
      </c>
      <c r="KE41" s="13" t="str">
        <f t="shared" si="62"/>
        <v/>
      </c>
      <c r="KF41" s="13" t="str">
        <f t="shared" si="62"/>
        <v/>
      </c>
      <c r="KG41" s="13" t="str">
        <f t="shared" si="62"/>
        <v/>
      </c>
      <c r="KH41" s="13" t="str">
        <f t="shared" si="62"/>
        <v/>
      </c>
      <c r="KI41" s="13" t="str">
        <f t="shared" si="62"/>
        <v/>
      </c>
      <c r="KJ41" s="13" t="str">
        <f t="shared" si="62"/>
        <v/>
      </c>
      <c r="KK41" s="13" t="str">
        <f t="shared" si="62"/>
        <v/>
      </c>
      <c r="KL41" s="13" t="str">
        <f t="shared" si="62"/>
        <v/>
      </c>
      <c r="KM41" s="13" t="str">
        <f t="shared" si="62"/>
        <v/>
      </c>
      <c r="KN41" s="13" t="str">
        <f t="shared" si="62"/>
        <v/>
      </c>
      <c r="KO41" s="13" t="str">
        <f t="shared" si="62"/>
        <v/>
      </c>
      <c r="KP41" s="13" t="str">
        <f t="shared" si="47"/>
        <v/>
      </c>
      <c r="KQ41" s="13" t="str">
        <f t="shared" si="47"/>
        <v/>
      </c>
      <c r="KR41" s="13" t="str">
        <f t="shared" si="47"/>
        <v/>
      </c>
      <c r="KS41" s="13" t="str">
        <f t="shared" si="44"/>
        <v/>
      </c>
      <c r="KT41" s="13" t="str">
        <f t="shared" si="59"/>
        <v/>
      </c>
      <c r="KU41" s="13" t="str">
        <f t="shared" si="59"/>
        <v/>
      </c>
      <c r="KV41" s="13" t="str">
        <f t="shared" si="59"/>
        <v/>
      </c>
      <c r="KW41" s="13" t="str">
        <f t="shared" si="59"/>
        <v/>
      </c>
      <c r="KX41" s="13" t="str">
        <f t="shared" si="59"/>
        <v/>
      </c>
      <c r="KY41" s="13" t="str">
        <f t="shared" si="59"/>
        <v/>
      </c>
      <c r="KZ41" s="13" t="str">
        <f t="shared" si="59"/>
        <v/>
      </c>
      <c r="LA41" s="13" t="str">
        <f t="shared" si="59"/>
        <v/>
      </c>
      <c r="LB41" s="13" t="str">
        <f t="shared" si="59"/>
        <v/>
      </c>
      <c r="LC41" s="13" t="str">
        <f t="shared" si="59"/>
        <v/>
      </c>
      <c r="LD41" s="13" t="str">
        <f t="shared" si="59"/>
        <v/>
      </c>
      <c r="LE41" s="13" t="str">
        <f t="shared" si="59"/>
        <v/>
      </c>
      <c r="LF41" s="13" t="str">
        <f t="shared" si="59"/>
        <v/>
      </c>
      <c r="LG41" s="13" t="str">
        <f t="shared" si="59"/>
        <v/>
      </c>
      <c r="LH41" s="13" t="str">
        <f t="shared" si="59"/>
        <v/>
      </c>
      <c r="LI41" s="13" t="str">
        <f t="shared" si="59"/>
        <v/>
      </c>
      <c r="LJ41" s="13" t="str">
        <f t="shared" si="59"/>
        <v/>
      </c>
      <c r="LK41" s="13" t="str">
        <f t="shared" si="59"/>
        <v/>
      </c>
      <c r="LL41" s="13" t="str">
        <f t="shared" si="59"/>
        <v/>
      </c>
      <c r="LM41" s="13" t="str">
        <f t="shared" si="59"/>
        <v/>
      </c>
      <c r="LN41" s="13" t="str">
        <f t="shared" si="59"/>
        <v/>
      </c>
      <c r="LO41" s="13" t="str">
        <f t="shared" si="59"/>
        <v/>
      </c>
      <c r="LP41" s="13" t="str">
        <f t="shared" si="59"/>
        <v/>
      </c>
      <c r="LQ41" s="13" t="str">
        <f t="shared" si="59"/>
        <v/>
      </c>
      <c r="LR41" s="13" t="str">
        <f t="shared" si="59"/>
        <v/>
      </c>
      <c r="LS41" s="13" t="str">
        <f t="shared" si="59"/>
        <v/>
      </c>
      <c r="LT41" s="13" t="str">
        <f t="shared" si="59"/>
        <v/>
      </c>
      <c r="LU41" s="13" t="str">
        <f t="shared" si="59"/>
        <v/>
      </c>
      <c r="LV41" s="13" t="str">
        <f t="shared" si="59"/>
        <v/>
      </c>
      <c r="LW41" s="13" t="str">
        <f t="shared" si="59"/>
        <v/>
      </c>
      <c r="LX41" s="13" t="str">
        <f t="shared" si="59"/>
        <v/>
      </c>
      <c r="LY41" s="13" t="str">
        <f t="shared" si="59"/>
        <v/>
      </c>
      <c r="LZ41" s="13" t="str">
        <f t="shared" si="59"/>
        <v/>
      </c>
      <c r="MA41" s="13" t="str">
        <f t="shared" si="59"/>
        <v/>
      </c>
      <c r="MB41" s="13" t="str">
        <f t="shared" si="59"/>
        <v/>
      </c>
      <c r="MC41" s="13" t="str">
        <f t="shared" si="59"/>
        <v/>
      </c>
      <c r="MD41" s="13" t="str">
        <f t="shared" si="59"/>
        <v/>
      </c>
      <c r="ME41" s="13" t="str">
        <f t="shared" si="59"/>
        <v/>
      </c>
      <c r="MF41" s="13" t="str">
        <f t="shared" si="59"/>
        <v/>
      </c>
      <c r="MG41" s="13" t="str">
        <f t="shared" si="59"/>
        <v/>
      </c>
    </row>
    <row r="42" spans="1:345" x14ac:dyDescent="0.2">
      <c r="A42" s="3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V42" s="8" t="str">
        <f t="shared" si="19"/>
        <v/>
      </c>
      <c r="W42" s="38" t="e">
        <f t="shared" si="7"/>
        <v>#N/A</v>
      </c>
      <c r="X42" s="38" t="e">
        <f t="shared" si="8"/>
        <v>#N/A</v>
      </c>
      <c r="Y42" s="45" t="str">
        <f t="shared" si="9"/>
        <v/>
      </c>
      <c r="Z42" s="40" t="str">
        <f t="shared" si="10"/>
        <v/>
      </c>
      <c r="AA42" s="49" t="e">
        <f t="shared" si="11"/>
        <v>#N/A</v>
      </c>
      <c r="AB42" s="40" t="str">
        <f t="shared" si="12"/>
        <v/>
      </c>
      <c r="AC42" s="49" t="e">
        <f t="shared" si="13"/>
        <v>#N/A</v>
      </c>
      <c r="AE42" s="9" t="str">
        <f t="shared" si="20"/>
        <v/>
      </c>
      <c r="AF42" s="9" t="str">
        <f t="shared" si="21"/>
        <v/>
      </c>
      <c r="AG42" s="9" t="str">
        <f t="shared" si="22"/>
        <v/>
      </c>
      <c r="AH42" s="9" t="str">
        <f t="shared" si="23"/>
        <v/>
      </c>
      <c r="AI42" s="9" t="str">
        <f t="shared" si="24"/>
        <v/>
      </c>
      <c r="AJ42" s="9" t="str">
        <f t="shared" si="25"/>
        <v/>
      </c>
      <c r="AK42" s="9" t="str">
        <f t="shared" si="26"/>
        <v/>
      </c>
      <c r="AL42" s="9" t="str">
        <f t="shared" si="27"/>
        <v/>
      </c>
      <c r="AM42" s="9" t="str">
        <f t="shared" si="28"/>
        <v/>
      </c>
      <c r="AN42" s="9" t="str">
        <f t="shared" si="29"/>
        <v/>
      </c>
      <c r="AO42" s="10" t="str">
        <f t="shared" si="30"/>
        <v/>
      </c>
      <c r="AP42" s="11">
        <f t="shared" si="31"/>
        <v>0</v>
      </c>
      <c r="AR42" s="13" t="str">
        <f t="shared" si="52"/>
        <v/>
      </c>
      <c r="AS42" s="13" t="str">
        <f t="shared" si="53"/>
        <v/>
      </c>
      <c r="AT42" s="13" t="str">
        <f t="shared" si="33"/>
        <v/>
      </c>
      <c r="AU42" s="13" t="str">
        <f t="shared" si="61"/>
        <v/>
      </c>
      <c r="AV42" s="13" t="str">
        <f t="shared" si="61"/>
        <v/>
      </c>
      <c r="AW42" s="13" t="str">
        <f t="shared" si="61"/>
        <v/>
      </c>
      <c r="AX42" s="13" t="str">
        <f t="shared" si="61"/>
        <v/>
      </c>
      <c r="AY42" s="13" t="str">
        <f t="shared" si="61"/>
        <v/>
      </c>
      <c r="AZ42" s="13" t="str">
        <f t="shared" si="61"/>
        <v/>
      </c>
      <c r="BA42" s="13" t="str">
        <f t="shared" si="61"/>
        <v/>
      </c>
      <c r="BB42" s="13" t="str">
        <f t="shared" si="61"/>
        <v/>
      </c>
      <c r="BC42" s="13" t="str">
        <f t="shared" si="61"/>
        <v/>
      </c>
      <c r="BD42" s="13" t="str">
        <f t="shared" si="61"/>
        <v/>
      </c>
      <c r="BE42" s="13" t="str">
        <f t="shared" si="61"/>
        <v/>
      </c>
      <c r="BF42" s="13" t="str">
        <f t="shared" si="61"/>
        <v/>
      </c>
      <c r="BG42" s="13" t="str">
        <f t="shared" si="61"/>
        <v/>
      </c>
      <c r="BH42" s="13" t="str">
        <f t="shared" si="61"/>
        <v/>
      </c>
      <c r="BI42" s="13" t="str">
        <f t="shared" si="61"/>
        <v/>
      </c>
      <c r="BJ42" s="13" t="str">
        <f t="shared" si="61"/>
        <v/>
      </c>
      <c r="BK42" s="13" t="str">
        <f t="shared" si="61"/>
        <v/>
      </c>
      <c r="BL42" s="13" t="str">
        <f t="shared" si="61"/>
        <v/>
      </c>
      <c r="BM42" s="13" t="str">
        <f t="shared" si="61"/>
        <v/>
      </c>
      <c r="BN42" s="13" t="str">
        <f t="shared" si="61"/>
        <v/>
      </c>
      <c r="BO42" s="13" t="str">
        <f t="shared" si="61"/>
        <v/>
      </c>
      <c r="BP42" s="13" t="str">
        <f t="shared" si="61"/>
        <v/>
      </c>
      <c r="BQ42" s="13" t="str">
        <f t="shared" si="61"/>
        <v/>
      </c>
      <c r="BR42" s="13" t="str">
        <f t="shared" si="61"/>
        <v/>
      </c>
      <c r="BS42" s="13" t="str">
        <f t="shared" si="61"/>
        <v/>
      </c>
      <c r="BT42" s="13" t="str">
        <f t="shared" si="61"/>
        <v/>
      </c>
      <c r="BU42" s="13" t="str">
        <f t="shared" si="61"/>
        <v/>
      </c>
      <c r="BV42" s="13" t="str">
        <f t="shared" si="61"/>
        <v/>
      </c>
      <c r="BW42" s="13" t="str">
        <f t="shared" si="61"/>
        <v/>
      </c>
      <c r="BX42" s="13" t="str">
        <f t="shared" si="61"/>
        <v/>
      </c>
      <c r="BY42" s="13" t="str">
        <f t="shared" si="61"/>
        <v/>
      </c>
      <c r="BZ42" s="13" t="str">
        <f t="shared" si="61"/>
        <v/>
      </c>
      <c r="CA42" s="13" t="str">
        <f t="shared" si="61"/>
        <v/>
      </c>
      <c r="CB42" s="13" t="str">
        <f t="shared" si="61"/>
        <v/>
      </c>
      <c r="CC42" s="13" t="str">
        <f t="shared" si="61"/>
        <v/>
      </c>
      <c r="CD42" s="13" t="str">
        <f t="shared" si="61"/>
        <v/>
      </c>
      <c r="CE42" s="13" t="str">
        <f t="shared" si="61"/>
        <v/>
      </c>
      <c r="CF42" s="13" t="str">
        <f t="shared" si="61"/>
        <v/>
      </c>
      <c r="CG42" s="13" t="str">
        <f t="shared" si="61"/>
        <v/>
      </c>
      <c r="CH42" s="13" t="str">
        <f t="shared" si="61"/>
        <v/>
      </c>
      <c r="CI42" s="13" t="str">
        <f t="shared" si="61"/>
        <v/>
      </c>
      <c r="CJ42" s="13" t="str">
        <f t="shared" si="61"/>
        <v/>
      </c>
      <c r="CK42" s="13" t="str">
        <f t="shared" si="61"/>
        <v/>
      </c>
      <c r="CL42" s="13" t="str">
        <f t="shared" si="61"/>
        <v/>
      </c>
      <c r="CM42" s="13" t="str">
        <f t="shared" si="61"/>
        <v/>
      </c>
      <c r="CN42" s="13" t="str">
        <f t="shared" si="61"/>
        <v/>
      </c>
      <c r="CO42" s="13" t="str">
        <f t="shared" si="61"/>
        <v/>
      </c>
      <c r="CP42" s="13" t="str">
        <f t="shared" si="61"/>
        <v/>
      </c>
      <c r="CQ42" s="13" t="str">
        <f t="shared" si="61"/>
        <v/>
      </c>
      <c r="CR42" s="13" t="str">
        <f t="shared" si="61"/>
        <v/>
      </c>
      <c r="CS42" s="13" t="str">
        <f t="shared" si="61"/>
        <v/>
      </c>
      <c r="CT42" s="13" t="str">
        <f t="shared" si="61"/>
        <v/>
      </c>
      <c r="CU42" s="13" t="str">
        <f t="shared" si="61"/>
        <v/>
      </c>
      <c r="CV42" s="13" t="str">
        <f t="shared" si="61"/>
        <v/>
      </c>
      <c r="CW42" s="13" t="str">
        <f t="shared" si="61"/>
        <v/>
      </c>
      <c r="CX42" s="13" t="str">
        <f t="shared" si="61"/>
        <v/>
      </c>
      <c r="CY42" s="13" t="str">
        <f t="shared" si="61"/>
        <v/>
      </c>
      <c r="CZ42" s="13" t="str">
        <f t="shared" si="61"/>
        <v/>
      </c>
      <c r="DA42" s="13" t="str">
        <f t="shared" si="61"/>
        <v/>
      </c>
      <c r="DB42" s="13" t="str">
        <f t="shared" si="61"/>
        <v/>
      </c>
      <c r="DC42" s="13" t="str">
        <f t="shared" si="61"/>
        <v/>
      </c>
      <c r="DD42" s="13" t="str">
        <f t="shared" si="61"/>
        <v/>
      </c>
      <c r="DE42" s="13" t="str">
        <f t="shared" si="61"/>
        <v/>
      </c>
      <c r="DF42" s="13" t="str">
        <f t="shared" si="61"/>
        <v/>
      </c>
      <c r="DG42" s="13" t="str">
        <f t="shared" si="60"/>
        <v/>
      </c>
      <c r="DH42" s="13" t="str">
        <f t="shared" si="60"/>
        <v/>
      </c>
      <c r="DI42" s="13" t="str">
        <f t="shared" si="60"/>
        <v/>
      </c>
      <c r="DJ42" s="13" t="str">
        <f t="shared" si="60"/>
        <v/>
      </c>
      <c r="DK42" s="13" t="str">
        <f t="shared" si="60"/>
        <v/>
      </c>
      <c r="DL42" s="13" t="str">
        <f t="shared" si="60"/>
        <v/>
      </c>
      <c r="DM42" s="13" t="str">
        <f t="shared" si="60"/>
        <v/>
      </c>
      <c r="DN42" s="13" t="str">
        <f t="shared" si="60"/>
        <v/>
      </c>
      <c r="DO42" s="13" t="str">
        <f t="shared" si="60"/>
        <v/>
      </c>
      <c r="DP42" s="13" t="str">
        <f t="shared" si="60"/>
        <v/>
      </c>
      <c r="DQ42" s="13" t="str">
        <f t="shared" si="60"/>
        <v/>
      </c>
      <c r="DR42" s="13" t="str">
        <f t="shared" si="60"/>
        <v/>
      </c>
      <c r="DS42" s="13" t="str">
        <f t="shared" si="60"/>
        <v/>
      </c>
      <c r="DT42" s="13" t="str">
        <f t="shared" si="60"/>
        <v/>
      </c>
      <c r="DU42" s="13" t="str">
        <f t="shared" si="60"/>
        <v/>
      </c>
      <c r="DV42" s="13" t="str">
        <f t="shared" si="60"/>
        <v/>
      </c>
      <c r="DW42" s="13" t="str">
        <f t="shared" si="60"/>
        <v/>
      </c>
      <c r="DX42" s="13" t="str">
        <f t="shared" si="60"/>
        <v/>
      </c>
      <c r="DY42" s="13" t="str">
        <f t="shared" si="60"/>
        <v/>
      </c>
      <c r="DZ42" s="13" t="str">
        <f t="shared" si="60"/>
        <v/>
      </c>
      <c r="EA42" s="13" t="str">
        <f t="shared" si="60"/>
        <v/>
      </c>
      <c r="EB42" s="13" t="str">
        <f t="shared" si="60"/>
        <v/>
      </c>
      <c r="EC42" s="13" t="str">
        <f t="shared" si="60"/>
        <v/>
      </c>
      <c r="ED42" s="13" t="str">
        <f t="shared" si="60"/>
        <v/>
      </c>
      <c r="EE42" s="13" t="str">
        <f t="shared" si="60"/>
        <v/>
      </c>
      <c r="EF42" s="13" t="str">
        <f t="shared" si="60"/>
        <v/>
      </c>
      <c r="EG42" s="13" t="str">
        <f t="shared" si="60"/>
        <v/>
      </c>
      <c r="EH42" s="13" t="str">
        <f t="shared" si="60"/>
        <v/>
      </c>
      <c r="EI42" s="13" t="str">
        <f t="shared" si="60"/>
        <v/>
      </c>
      <c r="EJ42" s="13" t="str">
        <f t="shared" si="60"/>
        <v/>
      </c>
      <c r="EK42" s="13" t="str">
        <f t="shared" si="60"/>
        <v/>
      </c>
      <c r="EL42" s="13" t="str">
        <f t="shared" si="60"/>
        <v/>
      </c>
      <c r="EM42" s="13" t="str">
        <f t="shared" si="60"/>
        <v/>
      </c>
      <c r="EN42" s="13" t="str">
        <f t="shared" si="60"/>
        <v/>
      </c>
      <c r="EO42" s="13" t="str">
        <f t="shared" si="60"/>
        <v/>
      </c>
      <c r="EP42" s="13" t="str">
        <f t="shared" si="60"/>
        <v/>
      </c>
      <c r="EQ42" s="13" t="str">
        <f t="shared" si="60"/>
        <v/>
      </c>
      <c r="ER42" s="13" t="str">
        <f t="shared" si="60"/>
        <v/>
      </c>
      <c r="ES42" s="13" t="str">
        <f t="shared" si="60"/>
        <v/>
      </c>
      <c r="ET42" s="13" t="str">
        <f t="shared" si="60"/>
        <v/>
      </c>
      <c r="EU42" s="13" t="str">
        <f t="shared" si="60"/>
        <v/>
      </c>
      <c r="EV42" s="13" t="str">
        <f t="shared" si="60"/>
        <v/>
      </c>
      <c r="EW42" s="13" t="str">
        <f t="shared" si="60"/>
        <v/>
      </c>
      <c r="EX42" s="13" t="str">
        <f t="shared" si="60"/>
        <v/>
      </c>
      <c r="EY42" s="13" t="str">
        <f t="shared" si="60"/>
        <v/>
      </c>
      <c r="EZ42" s="13" t="str">
        <f t="shared" si="60"/>
        <v/>
      </c>
      <c r="FA42" s="13" t="str">
        <f t="shared" si="60"/>
        <v/>
      </c>
      <c r="FB42" s="13" t="str">
        <f t="shared" si="60"/>
        <v/>
      </c>
      <c r="FC42" s="13" t="str">
        <f t="shared" si="60"/>
        <v/>
      </c>
      <c r="FD42" s="13" t="str">
        <f t="shared" si="60"/>
        <v/>
      </c>
      <c r="FE42" s="13" t="str">
        <f t="shared" si="60"/>
        <v/>
      </c>
      <c r="FF42" s="13" t="str">
        <f t="shared" si="60"/>
        <v/>
      </c>
      <c r="FG42" s="13" t="str">
        <f t="shared" si="60"/>
        <v/>
      </c>
      <c r="FH42" s="13" t="str">
        <f t="shared" si="60"/>
        <v/>
      </c>
      <c r="FI42" s="13" t="str">
        <f t="shared" si="60"/>
        <v/>
      </c>
      <c r="FJ42" s="13" t="str">
        <f t="shared" si="60"/>
        <v/>
      </c>
      <c r="FK42" s="13" t="str">
        <f t="shared" si="60"/>
        <v/>
      </c>
      <c r="FL42" s="13" t="str">
        <f t="shared" si="60"/>
        <v/>
      </c>
      <c r="FM42" s="13" t="str">
        <f t="shared" si="60"/>
        <v/>
      </c>
      <c r="FN42" s="13" t="str">
        <f t="shared" si="60"/>
        <v/>
      </c>
      <c r="FO42" s="13" t="str">
        <f t="shared" si="60"/>
        <v/>
      </c>
      <c r="FP42" s="13" t="str">
        <f t="shared" si="60"/>
        <v/>
      </c>
      <c r="FQ42" s="13" t="str">
        <f t="shared" si="60"/>
        <v/>
      </c>
      <c r="FR42" s="13" t="str">
        <f t="shared" ref="FR42:IC45" si="63">IF(FR71&gt;0,TEXT(FR$50,"R"&amp;0)&amp;", ","")</f>
        <v/>
      </c>
      <c r="FS42" s="13" t="str">
        <f t="shared" si="63"/>
        <v/>
      </c>
      <c r="FT42" s="13" t="str">
        <f t="shared" si="63"/>
        <v/>
      </c>
      <c r="FU42" s="13" t="str">
        <f t="shared" si="63"/>
        <v/>
      </c>
      <c r="FV42" s="13" t="str">
        <f t="shared" si="63"/>
        <v/>
      </c>
      <c r="FW42" s="13" t="str">
        <f t="shared" si="63"/>
        <v/>
      </c>
      <c r="FX42" s="13" t="str">
        <f t="shared" si="63"/>
        <v/>
      </c>
      <c r="FY42" s="13" t="str">
        <f t="shared" si="63"/>
        <v/>
      </c>
      <c r="FZ42" s="13" t="str">
        <f t="shared" si="63"/>
        <v/>
      </c>
      <c r="GA42" s="13" t="str">
        <f t="shared" si="63"/>
        <v/>
      </c>
      <c r="GB42" s="13" t="str">
        <f t="shared" si="63"/>
        <v/>
      </c>
      <c r="GC42" s="13" t="str">
        <f t="shared" si="63"/>
        <v/>
      </c>
      <c r="GD42" s="13" t="str">
        <f t="shared" si="63"/>
        <v/>
      </c>
      <c r="GE42" s="13" t="str">
        <f t="shared" si="63"/>
        <v/>
      </c>
      <c r="GF42" s="13" t="str">
        <f t="shared" si="63"/>
        <v/>
      </c>
      <c r="GG42" s="13" t="str">
        <f t="shared" si="63"/>
        <v/>
      </c>
      <c r="GH42" s="13" t="str">
        <f t="shared" si="63"/>
        <v/>
      </c>
      <c r="GI42" s="13" t="str">
        <f t="shared" si="63"/>
        <v/>
      </c>
      <c r="GJ42" s="13" t="str">
        <f t="shared" si="63"/>
        <v/>
      </c>
      <c r="GK42" s="13" t="str">
        <f t="shared" si="63"/>
        <v/>
      </c>
      <c r="GL42" s="13" t="str">
        <f t="shared" si="63"/>
        <v/>
      </c>
      <c r="GM42" s="13" t="str">
        <f t="shared" si="63"/>
        <v/>
      </c>
      <c r="GN42" s="13" t="str">
        <f t="shared" si="63"/>
        <v/>
      </c>
      <c r="GO42" s="13" t="str">
        <f t="shared" si="63"/>
        <v/>
      </c>
      <c r="GP42" s="13" t="str">
        <f t="shared" si="63"/>
        <v/>
      </c>
      <c r="GQ42" s="13" t="str">
        <f t="shared" si="63"/>
        <v/>
      </c>
      <c r="GR42" s="13" t="str">
        <f t="shared" si="63"/>
        <v/>
      </c>
      <c r="GS42" s="13" t="str">
        <f t="shared" si="63"/>
        <v/>
      </c>
      <c r="GT42" s="13" t="str">
        <f t="shared" si="63"/>
        <v/>
      </c>
      <c r="GU42" s="13" t="str">
        <f t="shared" si="63"/>
        <v/>
      </c>
      <c r="GV42" s="13" t="str">
        <f t="shared" si="63"/>
        <v/>
      </c>
      <c r="GW42" s="13" t="str">
        <f t="shared" si="63"/>
        <v/>
      </c>
      <c r="GX42" s="13" t="str">
        <f t="shared" si="63"/>
        <v/>
      </c>
      <c r="GY42" s="13" t="str">
        <f t="shared" si="63"/>
        <v/>
      </c>
      <c r="GZ42" s="13" t="str">
        <f t="shared" si="63"/>
        <v/>
      </c>
      <c r="HA42" s="13" t="str">
        <f t="shared" si="63"/>
        <v/>
      </c>
      <c r="HB42" s="13" t="str">
        <f t="shared" si="63"/>
        <v/>
      </c>
      <c r="HC42" s="13" t="str">
        <f t="shared" si="63"/>
        <v/>
      </c>
      <c r="HD42" s="13" t="str">
        <f t="shared" si="63"/>
        <v/>
      </c>
      <c r="HE42" s="13" t="str">
        <f t="shared" si="63"/>
        <v/>
      </c>
      <c r="HF42" s="13" t="str">
        <f t="shared" si="63"/>
        <v/>
      </c>
      <c r="HG42" s="13" t="str">
        <f t="shared" si="63"/>
        <v/>
      </c>
      <c r="HH42" s="13" t="str">
        <f t="shared" si="63"/>
        <v/>
      </c>
      <c r="HI42" s="13" t="str">
        <f t="shared" si="63"/>
        <v/>
      </c>
      <c r="HJ42" s="13" t="str">
        <f t="shared" si="63"/>
        <v/>
      </c>
      <c r="HK42" s="13" t="str">
        <f t="shared" si="63"/>
        <v/>
      </c>
      <c r="HL42" s="13" t="str">
        <f t="shared" si="63"/>
        <v/>
      </c>
      <c r="HM42" s="13" t="str">
        <f t="shared" si="63"/>
        <v/>
      </c>
      <c r="HN42" s="13" t="str">
        <f t="shared" si="63"/>
        <v/>
      </c>
      <c r="HO42" s="13" t="str">
        <f t="shared" si="63"/>
        <v/>
      </c>
      <c r="HP42" s="13" t="str">
        <f t="shared" si="63"/>
        <v/>
      </c>
      <c r="HQ42" s="13" t="str">
        <f t="shared" si="63"/>
        <v/>
      </c>
      <c r="HR42" s="13" t="str">
        <f t="shared" si="63"/>
        <v/>
      </c>
      <c r="HS42" s="13" t="str">
        <f t="shared" si="63"/>
        <v/>
      </c>
      <c r="HT42" s="13" t="str">
        <f t="shared" si="63"/>
        <v/>
      </c>
      <c r="HU42" s="13" t="str">
        <f t="shared" si="63"/>
        <v/>
      </c>
      <c r="HV42" s="13" t="str">
        <f t="shared" si="63"/>
        <v/>
      </c>
      <c r="HW42" s="13" t="str">
        <f t="shared" si="63"/>
        <v/>
      </c>
      <c r="HX42" s="13" t="str">
        <f t="shared" si="63"/>
        <v/>
      </c>
      <c r="HY42" s="13" t="str">
        <f t="shared" si="63"/>
        <v/>
      </c>
      <c r="HZ42" s="13" t="str">
        <f t="shared" si="63"/>
        <v/>
      </c>
      <c r="IA42" s="13" t="str">
        <f t="shared" si="63"/>
        <v/>
      </c>
      <c r="IB42" s="13" t="str">
        <f t="shared" si="63"/>
        <v/>
      </c>
      <c r="IC42" s="13" t="str">
        <f t="shared" si="63"/>
        <v/>
      </c>
      <c r="ID42" s="13" t="str">
        <f t="shared" si="62"/>
        <v/>
      </c>
      <c r="IE42" s="13" t="str">
        <f t="shared" si="62"/>
        <v/>
      </c>
      <c r="IF42" s="13" t="str">
        <f t="shared" si="62"/>
        <v/>
      </c>
      <c r="IG42" s="13" t="str">
        <f t="shared" si="62"/>
        <v/>
      </c>
      <c r="IH42" s="13" t="str">
        <f t="shared" si="62"/>
        <v/>
      </c>
      <c r="II42" s="13" t="str">
        <f t="shared" si="62"/>
        <v/>
      </c>
      <c r="IJ42" s="13" t="str">
        <f t="shared" si="62"/>
        <v/>
      </c>
      <c r="IK42" s="13" t="str">
        <f t="shared" si="62"/>
        <v/>
      </c>
      <c r="IL42" s="13" t="str">
        <f t="shared" si="62"/>
        <v/>
      </c>
      <c r="IM42" s="13" t="str">
        <f t="shared" si="62"/>
        <v/>
      </c>
      <c r="IN42" s="13" t="str">
        <f t="shared" si="62"/>
        <v/>
      </c>
      <c r="IO42" s="13" t="str">
        <f t="shared" si="62"/>
        <v/>
      </c>
      <c r="IP42" s="13" t="str">
        <f t="shared" si="62"/>
        <v/>
      </c>
      <c r="IQ42" s="13" t="str">
        <f t="shared" si="62"/>
        <v/>
      </c>
      <c r="IR42" s="13" t="str">
        <f t="shared" si="62"/>
        <v/>
      </c>
      <c r="IS42" s="13" t="str">
        <f t="shared" si="62"/>
        <v/>
      </c>
      <c r="IT42" s="13" t="str">
        <f t="shared" si="62"/>
        <v/>
      </c>
      <c r="IU42" s="13" t="str">
        <f t="shared" si="62"/>
        <v/>
      </c>
      <c r="IV42" s="13" t="str">
        <f t="shared" si="62"/>
        <v/>
      </c>
      <c r="IW42" s="13" t="str">
        <f t="shared" si="62"/>
        <v/>
      </c>
      <c r="IX42" s="13" t="str">
        <f t="shared" si="62"/>
        <v/>
      </c>
      <c r="IY42" s="13" t="str">
        <f t="shared" si="62"/>
        <v/>
      </c>
      <c r="IZ42" s="13" t="str">
        <f t="shared" si="62"/>
        <v/>
      </c>
      <c r="JA42" s="13" t="str">
        <f t="shared" si="62"/>
        <v/>
      </c>
      <c r="JB42" s="13" t="str">
        <f t="shared" si="62"/>
        <v/>
      </c>
      <c r="JC42" s="13" t="str">
        <f t="shared" si="62"/>
        <v/>
      </c>
      <c r="JD42" s="13" t="str">
        <f t="shared" si="62"/>
        <v/>
      </c>
      <c r="JE42" s="13" t="str">
        <f t="shared" si="62"/>
        <v/>
      </c>
      <c r="JF42" s="13" t="str">
        <f t="shared" si="62"/>
        <v/>
      </c>
      <c r="JG42" s="13" t="str">
        <f t="shared" si="62"/>
        <v/>
      </c>
      <c r="JH42" s="13" t="str">
        <f t="shared" si="62"/>
        <v/>
      </c>
      <c r="JI42" s="13" t="str">
        <f t="shared" si="62"/>
        <v/>
      </c>
      <c r="JJ42" s="13" t="str">
        <f t="shared" si="62"/>
        <v/>
      </c>
      <c r="JK42" s="13" t="str">
        <f t="shared" si="62"/>
        <v/>
      </c>
      <c r="JL42" s="13" t="str">
        <f t="shared" si="62"/>
        <v/>
      </c>
      <c r="JM42" s="13" t="str">
        <f t="shared" si="62"/>
        <v/>
      </c>
      <c r="JN42" s="13" t="str">
        <f t="shared" si="62"/>
        <v/>
      </c>
      <c r="JO42" s="13" t="str">
        <f t="shared" si="62"/>
        <v/>
      </c>
      <c r="JP42" s="13" t="str">
        <f t="shared" si="62"/>
        <v/>
      </c>
      <c r="JQ42" s="13" t="str">
        <f t="shared" si="62"/>
        <v/>
      </c>
      <c r="JR42" s="13" t="str">
        <f t="shared" si="62"/>
        <v/>
      </c>
      <c r="JS42" s="13" t="str">
        <f t="shared" si="62"/>
        <v/>
      </c>
      <c r="JT42" s="13" t="str">
        <f t="shared" si="62"/>
        <v/>
      </c>
      <c r="JU42" s="13" t="str">
        <f t="shared" si="62"/>
        <v/>
      </c>
      <c r="JV42" s="13" t="str">
        <f t="shared" si="62"/>
        <v/>
      </c>
      <c r="JW42" s="13" t="str">
        <f t="shared" si="62"/>
        <v/>
      </c>
      <c r="JX42" s="13" t="str">
        <f t="shared" si="62"/>
        <v/>
      </c>
      <c r="JY42" s="13" t="str">
        <f t="shared" si="62"/>
        <v/>
      </c>
      <c r="JZ42" s="13" t="str">
        <f t="shared" si="62"/>
        <v/>
      </c>
      <c r="KA42" s="13" t="str">
        <f t="shared" si="62"/>
        <v/>
      </c>
      <c r="KB42" s="13" t="str">
        <f t="shared" si="62"/>
        <v/>
      </c>
      <c r="KC42" s="13" t="str">
        <f t="shared" si="62"/>
        <v/>
      </c>
      <c r="KD42" s="13" t="str">
        <f t="shared" si="62"/>
        <v/>
      </c>
      <c r="KE42" s="13" t="str">
        <f t="shared" si="62"/>
        <v/>
      </c>
      <c r="KF42" s="13" t="str">
        <f t="shared" si="62"/>
        <v/>
      </c>
      <c r="KG42" s="13" t="str">
        <f t="shared" si="62"/>
        <v/>
      </c>
      <c r="KH42" s="13" t="str">
        <f t="shared" si="62"/>
        <v/>
      </c>
      <c r="KI42" s="13" t="str">
        <f t="shared" si="62"/>
        <v/>
      </c>
      <c r="KJ42" s="13" t="str">
        <f t="shared" si="62"/>
        <v/>
      </c>
      <c r="KK42" s="13" t="str">
        <f t="shared" si="62"/>
        <v/>
      </c>
      <c r="KL42" s="13" t="str">
        <f t="shared" si="62"/>
        <v/>
      </c>
      <c r="KM42" s="13" t="str">
        <f t="shared" si="62"/>
        <v/>
      </c>
      <c r="KN42" s="13" t="str">
        <f t="shared" si="62"/>
        <v/>
      </c>
      <c r="KO42" s="13" t="str">
        <f t="shared" si="62"/>
        <v/>
      </c>
      <c r="KP42" s="13" t="str">
        <f t="shared" si="47"/>
        <v/>
      </c>
      <c r="KQ42" s="13" t="str">
        <f t="shared" si="47"/>
        <v/>
      </c>
      <c r="KR42" s="13" t="str">
        <f t="shared" si="47"/>
        <v/>
      </c>
      <c r="KS42" s="13" t="str">
        <f t="shared" si="44"/>
        <v/>
      </c>
      <c r="KT42" s="13" t="str">
        <f t="shared" si="59"/>
        <v/>
      </c>
      <c r="KU42" s="13" t="str">
        <f t="shared" si="59"/>
        <v/>
      </c>
      <c r="KV42" s="13" t="str">
        <f t="shared" si="59"/>
        <v/>
      </c>
      <c r="KW42" s="13" t="str">
        <f t="shared" si="59"/>
        <v/>
      </c>
      <c r="KX42" s="13" t="str">
        <f t="shared" si="59"/>
        <v/>
      </c>
      <c r="KY42" s="13" t="str">
        <f t="shared" si="59"/>
        <v/>
      </c>
      <c r="KZ42" s="13" t="str">
        <f t="shared" si="59"/>
        <v/>
      </c>
      <c r="LA42" s="13" t="str">
        <f t="shared" si="59"/>
        <v/>
      </c>
      <c r="LB42" s="13" t="str">
        <f t="shared" si="59"/>
        <v/>
      </c>
      <c r="LC42" s="13" t="str">
        <f t="shared" si="59"/>
        <v/>
      </c>
      <c r="LD42" s="13" t="str">
        <f t="shared" si="59"/>
        <v/>
      </c>
      <c r="LE42" s="13" t="str">
        <f t="shared" si="59"/>
        <v/>
      </c>
      <c r="LF42" s="13" t="str">
        <f t="shared" si="59"/>
        <v/>
      </c>
      <c r="LG42" s="13" t="str">
        <f t="shared" si="59"/>
        <v/>
      </c>
      <c r="LH42" s="13" t="str">
        <f t="shared" si="59"/>
        <v/>
      </c>
      <c r="LI42" s="13" t="str">
        <f t="shared" si="59"/>
        <v/>
      </c>
      <c r="LJ42" s="13" t="str">
        <f t="shared" si="59"/>
        <v/>
      </c>
      <c r="LK42" s="13" t="str">
        <f t="shared" si="59"/>
        <v/>
      </c>
      <c r="LL42" s="13" t="str">
        <f t="shared" si="59"/>
        <v/>
      </c>
      <c r="LM42" s="13" t="str">
        <f t="shared" si="59"/>
        <v/>
      </c>
      <c r="LN42" s="13" t="str">
        <f t="shared" si="59"/>
        <v/>
      </c>
      <c r="LO42" s="13" t="str">
        <f t="shared" si="59"/>
        <v/>
      </c>
      <c r="LP42" s="13" t="str">
        <f t="shared" si="59"/>
        <v/>
      </c>
      <c r="LQ42" s="13" t="str">
        <f t="shared" si="59"/>
        <v/>
      </c>
      <c r="LR42" s="13" t="str">
        <f t="shared" si="59"/>
        <v/>
      </c>
      <c r="LS42" s="13" t="str">
        <f t="shared" si="59"/>
        <v/>
      </c>
      <c r="LT42" s="13" t="str">
        <f t="shared" si="59"/>
        <v/>
      </c>
      <c r="LU42" s="13" t="str">
        <f t="shared" si="59"/>
        <v/>
      </c>
      <c r="LV42" s="13" t="str">
        <f t="shared" si="59"/>
        <v/>
      </c>
      <c r="LW42" s="13" t="str">
        <f t="shared" si="59"/>
        <v/>
      </c>
      <c r="LX42" s="13" t="str">
        <f t="shared" si="59"/>
        <v/>
      </c>
      <c r="LY42" s="13" t="str">
        <f t="shared" si="59"/>
        <v/>
      </c>
      <c r="LZ42" s="13" t="str">
        <f t="shared" si="59"/>
        <v/>
      </c>
      <c r="MA42" s="13" t="str">
        <f t="shared" si="59"/>
        <v/>
      </c>
      <c r="MB42" s="13" t="str">
        <f t="shared" si="59"/>
        <v/>
      </c>
      <c r="MC42" s="13" t="str">
        <f t="shared" si="59"/>
        <v/>
      </c>
      <c r="MD42" s="13" t="str">
        <f t="shared" si="59"/>
        <v/>
      </c>
      <c r="ME42" s="13" t="str">
        <f t="shared" si="59"/>
        <v/>
      </c>
      <c r="MF42" s="13" t="str">
        <f t="shared" si="59"/>
        <v/>
      </c>
      <c r="MG42" s="13" t="str">
        <f t="shared" si="59"/>
        <v/>
      </c>
    </row>
    <row r="43" spans="1:345" x14ac:dyDescent="0.2">
      <c r="A43" s="3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V43" s="8" t="str">
        <f t="shared" si="19"/>
        <v/>
      </c>
      <c r="W43" s="38" t="e">
        <f t="shared" si="7"/>
        <v>#N/A</v>
      </c>
      <c r="X43" s="38" t="e">
        <f t="shared" si="8"/>
        <v>#N/A</v>
      </c>
      <c r="Y43" s="45" t="str">
        <f t="shared" si="9"/>
        <v/>
      </c>
      <c r="Z43" s="40" t="str">
        <f t="shared" si="10"/>
        <v/>
      </c>
      <c r="AA43" s="49" t="e">
        <f t="shared" si="11"/>
        <v>#N/A</v>
      </c>
      <c r="AB43" s="40" t="str">
        <f t="shared" si="12"/>
        <v/>
      </c>
      <c r="AC43" s="49" t="e">
        <f t="shared" si="13"/>
        <v>#N/A</v>
      </c>
      <c r="AE43" s="9" t="str">
        <f t="shared" si="20"/>
        <v/>
      </c>
      <c r="AF43" s="9" t="str">
        <f t="shared" si="21"/>
        <v/>
      </c>
      <c r="AG43" s="9" t="str">
        <f t="shared" si="22"/>
        <v/>
      </c>
      <c r="AH43" s="9" t="str">
        <f t="shared" si="23"/>
        <v/>
      </c>
      <c r="AI43" s="9" t="str">
        <f t="shared" si="24"/>
        <v/>
      </c>
      <c r="AJ43" s="9" t="str">
        <f t="shared" si="25"/>
        <v/>
      </c>
      <c r="AK43" s="9" t="str">
        <f t="shared" si="26"/>
        <v/>
      </c>
      <c r="AL43" s="9" t="str">
        <f t="shared" si="27"/>
        <v/>
      </c>
      <c r="AM43" s="9" t="str">
        <f t="shared" si="28"/>
        <v/>
      </c>
      <c r="AN43" s="9" t="str">
        <f t="shared" si="29"/>
        <v/>
      </c>
      <c r="AO43" s="10" t="str">
        <f t="shared" si="30"/>
        <v/>
      </c>
      <c r="AP43" s="11">
        <f t="shared" si="31"/>
        <v>0</v>
      </c>
      <c r="AR43" s="13" t="str">
        <f t="shared" si="52"/>
        <v/>
      </c>
      <c r="AS43" s="13" t="str">
        <f t="shared" si="53"/>
        <v/>
      </c>
      <c r="AT43" s="13" t="str">
        <f t="shared" si="33"/>
        <v/>
      </c>
      <c r="AU43" s="13" t="str">
        <f t="shared" si="61"/>
        <v/>
      </c>
      <c r="AV43" s="13" t="str">
        <f t="shared" si="61"/>
        <v/>
      </c>
      <c r="AW43" s="13" t="str">
        <f t="shared" si="61"/>
        <v/>
      </c>
      <c r="AX43" s="13" t="str">
        <f t="shared" si="61"/>
        <v/>
      </c>
      <c r="AY43" s="13" t="str">
        <f t="shared" si="61"/>
        <v/>
      </c>
      <c r="AZ43" s="13" t="str">
        <f t="shared" si="61"/>
        <v/>
      </c>
      <c r="BA43" s="13" t="str">
        <f t="shared" si="61"/>
        <v/>
      </c>
      <c r="BB43" s="13" t="str">
        <f t="shared" si="61"/>
        <v/>
      </c>
      <c r="BC43" s="13" t="str">
        <f t="shared" si="61"/>
        <v/>
      </c>
      <c r="BD43" s="13" t="str">
        <f t="shared" si="61"/>
        <v/>
      </c>
      <c r="BE43" s="13" t="str">
        <f t="shared" si="61"/>
        <v/>
      </c>
      <c r="BF43" s="13" t="str">
        <f t="shared" si="61"/>
        <v/>
      </c>
      <c r="BG43" s="13" t="str">
        <f t="shared" si="61"/>
        <v/>
      </c>
      <c r="BH43" s="13" t="str">
        <f t="shared" si="61"/>
        <v/>
      </c>
      <c r="BI43" s="13" t="str">
        <f t="shared" si="61"/>
        <v/>
      </c>
      <c r="BJ43" s="13" t="str">
        <f t="shared" si="61"/>
        <v/>
      </c>
      <c r="BK43" s="13" t="str">
        <f t="shared" si="61"/>
        <v/>
      </c>
      <c r="BL43" s="13" t="str">
        <f t="shared" si="61"/>
        <v/>
      </c>
      <c r="BM43" s="13" t="str">
        <f t="shared" si="61"/>
        <v/>
      </c>
      <c r="BN43" s="13" t="str">
        <f t="shared" si="61"/>
        <v/>
      </c>
      <c r="BO43" s="13" t="str">
        <f t="shared" si="61"/>
        <v/>
      </c>
      <c r="BP43" s="13" t="str">
        <f t="shared" si="61"/>
        <v/>
      </c>
      <c r="BQ43" s="13" t="str">
        <f t="shared" si="61"/>
        <v/>
      </c>
      <c r="BR43" s="13" t="str">
        <f t="shared" si="61"/>
        <v/>
      </c>
      <c r="BS43" s="13" t="str">
        <f t="shared" si="61"/>
        <v/>
      </c>
      <c r="BT43" s="13" t="str">
        <f t="shared" si="61"/>
        <v/>
      </c>
      <c r="BU43" s="13" t="str">
        <f t="shared" si="61"/>
        <v/>
      </c>
      <c r="BV43" s="13" t="str">
        <f t="shared" si="61"/>
        <v/>
      </c>
      <c r="BW43" s="13" t="str">
        <f t="shared" si="61"/>
        <v/>
      </c>
      <c r="BX43" s="13" t="str">
        <f t="shared" si="61"/>
        <v/>
      </c>
      <c r="BY43" s="13" t="str">
        <f t="shared" si="61"/>
        <v/>
      </c>
      <c r="BZ43" s="13" t="str">
        <f t="shared" si="61"/>
        <v/>
      </c>
      <c r="CA43" s="13" t="str">
        <f t="shared" si="61"/>
        <v/>
      </c>
      <c r="CB43" s="13" t="str">
        <f t="shared" si="61"/>
        <v/>
      </c>
      <c r="CC43" s="13" t="str">
        <f t="shared" si="61"/>
        <v/>
      </c>
      <c r="CD43" s="13" t="str">
        <f t="shared" si="61"/>
        <v/>
      </c>
      <c r="CE43" s="13" t="str">
        <f t="shared" si="61"/>
        <v/>
      </c>
      <c r="CF43" s="13" t="str">
        <f t="shared" si="61"/>
        <v/>
      </c>
      <c r="CG43" s="13" t="str">
        <f t="shared" si="61"/>
        <v/>
      </c>
      <c r="CH43" s="13" t="str">
        <f t="shared" si="61"/>
        <v/>
      </c>
      <c r="CI43" s="13" t="str">
        <f t="shared" si="61"/>
        <v/>
      </c>
      <c r="CJ43" s="13" t="str">
        <f t="shared" si="61"/>
        <v/>
      </c>
      <c r="CK43" s="13" t="str">
        <f t="shared" si="61"/>
        <v/>
      </c>
      <c r="CL43" s="13" t="str">
        <f t="shared" si="61"/>
        <v/>
      </c>
      <c r="CM43" s="13" t="str">
        <f t="shared" si="61"/>
        <v/>
      </c>
      <c r="CN43" s="13" t="str">
        <f t="shared" si="61"/>
        <v/>
      </c>
      <c r="CO43" s="13" t="str">
        <f t="shared" si="61"/>
        <v/>
      </c>
      <c r="CP43" s="13" t="str">
        <f t="shared" si="61"/>
        <v/>
      </c>
      <c r="CQ43" s="13" t="str">
        <f t="shared" si="61"/>
        <v/>
      </c>
      <c r="CR43" s="13" t="str">
        <f t="shared" si="61"/>
        <v/>
      </c>
      <c r="CS43" s="13" t="str">
        <f t="shared" si="61"/>
        <v/>
      </c>
      <c r="CT43" s="13" t="str">
        <f t="shared" si="61"/>
        <v/>
      </c>
      <c r="CU43" s="13" t="str">
        <f t="shared" si="61"/>
        <v/>
      </c>
      <c r="CV43" s="13" t="str">
        <f t="shared" si="61"/>
        <v/>
      </c>
      <c r="CW43" s="13" t="str">
        <f t="shared" si="61"/>
        <v/>
      </c>
      <c r="CX43" s="13" t="str">
        <f t="shared" si="61"/>
        <v/>
      </c>
      <c r="CY43" s="13" t="str">
        <f t="shared" si="61"/>
        <v/>
      </c>
      <c r="CZ43" s="13" t="str">
        <f t="shared" si="61"/>
        <v/>
      </c>
      <c r="DA43" s="13" t="str">
        <f t="shared" si="61"/>
        <v/>
      </c>
      <c r="DB43" s="13" t="str">
        <f t="shared" si="61"/>
        <v/>
      </c>
      <c r="DC43" s="13" t="str">
        <f t="shared" si="61"/>
        <v/>
      </c>
      <c r="DD43" s="13" t="str">
        <f t="shared" si="61"/>
        <v/>
      </c>
      <c r="DE43" s="13" t="str">
        <f t="shared" si="61"/>
        <v/>
      </c>
      <c r="DF43" s="13" t="str">
        <f t="shared" ref="DF43:FQ46" si="64">IF(DF72&gt;0,TEXT(DF$50,"R"&amp;0)&amp;", ","")</f>
        <v/>
      </c>
      <c r="DG43" s="13" t="str">
        <f t="shared" si="64"/>
        <v/>
      </c>
      <c r="DH43" s="13" t="str">
        <f t="shared" si="64"/>
        <v/>
      </c>
      <c r="DI43" s="13" t="str">
        <f t="shared" si="64"/>
        <v/>
      </c>
      <c r="DJ43" s="13" t="str">
        <f t="shared" si="64"/>
        <v/>
      </c>
      <c r="DK43" s="13" t="str">
        <f t="shared" si="64"/>
        <v/>
      </c>
      <c r="DL43" s="13" t="str">
        <f t="shared" si="64"/>
        <v/>
      </c>
      <c r="DM43" s="13" t="str">
        <f t="shared" si="64"/>
        <v/>
      </c>
      <c r="DN43" s="13" t="str">
        <f t="shared" si="64"/>
        <v/>
      </c>
      <c r="DO43" s="13" t="str">
        <f t="shared" si="64"/>
        <v/>
      </c>
      <c r="DP43" s="13" t="str">
        <f t="shared" si="64"/>
        <v/>
      </c>
      <c r="DQ43" s="13" t="str">
        <f t="shared" si="64"/>
        <v/>
      </c>
      <c r="DR43" s="13" t="str">
        <f t="shared" si="64"/>
        <v/>
      </c>
      <c r="DS43" s="13" t="str">
        <f t="shared" si="64"/>
        <v/>
      </c>
      <c r="DT43" s="13" t="str">
        <f t="shared" si="64"/>
        <v/>
      </c>
      <c r="DU43" s="13" t="str">
        <f t="shared" si="64"/>
        <v/>
      </c>
      <c r="DV43" s="13" t="str">
        <f t="shared" si="64"/>
        <v/>
      </c>
      <c r="DW43" s="13" t="str">
        <f t="shared" si="64"/>
        <v/>
      </c>
      <c r="DX43" s="13" t="str">
        <f t="shared" si="64"/>
        <v/>
      </c>
      <c r="DY43" s="13" t="str">
        <f t="shared" si="64"/>
        <v/>
      </c>
      <c r="DZ43" s="13" t="str">
        <f t="shared" si="64"/>
        <v/>
      </c>
      <c r="EA43" s="13" t="str">
        <f t="shared" si="64"/>
        <v/>
      </c>
      <c r="EB43" s="13" t="str">
        <f t="shared" si="64"/>
        <v/>
      </c>
      <c r="EC43" s="13" t="str">
        <f t="shared" si="64"/>
        <v/>
      </c>
      <c r="ED43" s="13" t="str">
        <f t="shared" si="64"/>
        <v/>
      </c>
      <c r="EE43" s="13" t="str">
        <f t="shared" si="64"/>
        <v/>
      </c>
      <c r="EF43" s="13" t="str">
        <f t="shared" si="64"/>
        <v/>
      </c>
      <c r="EG43" s="13" t="str">
        <f t="shared" si="64"/>
        <v/>
      </c>
      <c r="EH43" s="13" t="str">
        <f t="shared" si="64"/>
        <v/>
      </c>
      <c r="EI43" s="13" t="str">
        <f t="shared" si="64"/>
        <v/>
      </c>
      <c r="EJ43" s="13" t="str">
        <f t="shared" si="64"/>
        <v/>
      </c>
      <c r="EK43" s="13" t="str">
        <f t="shared" si="64"/>
        <v/>
      </c>
      <c r="EL43" s="13" t="str">
        <f t="shared" si="64"/>
        <v/>
      </c>
      <c r="EM43" s="13" t="str">
        <f t="shared" si="64"/>
        <v/>
      </c>
      <c r="EN43" s="13" t="str">
        <f t="shared" si="64"/>
        <v/>
      </c>
      <c r="EO43" s="13" t="str">
        <f t="shared" si="64"/>
        <v/>
      </c>
      <c r="EP43" s="13" t="str">
        <f t="shared" si="64"/>
        <v/>
      </c>
      <c r="EQ43" s="13" t="str">
        <f t="shared" si="64"/>
        <v/>
      </c>
      <c r="ER43" s="13" t="str">
        <f t="shared" si="64"/>
        <v/>
      </c>
      <c r="ES43" s="13" t="str">
        <f t="shared" si="64"/>
        <v/>
      </c>
      <c r="ET43" s="13" t="str">
        <f t="shared" si="64"/>
        <v/>
      </c>
      <c r="EU43" s="13" t="str">
        <f t="shared" si="64"/>
        <v/>
      </c>
      <c r="EV43" s="13" t="str">
        <f t="shared" si="64"/>
        <v/>
      </c>
      <c r="EW43" s="13" t="str">
        <f t="shared" si="64"/>
        <v/>
      </c>
      <c r="EX43" s="13" t="str">
        <f t="shared" si="64"/>
        <v/>
      </c>
      <c r="EY43" s="13" t="str">
        <f t="shared" si="64"/>
        <v/>
      </c>
      <c r="EZ43" s="13" t="str">
        <f t="shared" si="64"/>
        <v/>
      </c>
      <c r="FA43" s="13" t="str">
        <f t="shared" si="64"/>
        <v/>
      </c>
      <c r="FB43" s="13" t="str">
        <f t="shared" si="64"/>
        <v/>
      </c>
      <c r="FC43" s="13" t="str">
        <f t="shared" si="64"/>
        <v/>
      </c>
      <c r="FD43" s="13" t="str">
        <f t="shared" si="64"/>
        <v/>
      </c>
      <c r="FE43" s="13" t="str">
        <f t="shared" si="64"/>
        <v/>
      </c>
      <c r="FF43" s="13" t="str">
        <f t="shared" si="64"/>
        <v/>
      </c>
      <c r="FG43" s="13" t="str">
        <f t="shared" si="64"/>
        <v/>
      </c>
      <c r="FH43" s="13" t="str">
        <f t="shared" si="64"/>
        <v/>
      </c>
      <c r="FI43" s="13" t="str">
        <f t="shared" si="64"/>
        <v/>
      </c>
      <c r="FJ43" s="13" t="str">
        <f t="shared" si="64"/>
        <v/>
      </c>
      <c r="FK43" s="13" t="str">
        <f t="shared" si="64"/>
        <v/>
      </c>
      <c r="FL43" s="13" t="str">
        <f t="shared" si="64"/>
        <v/>
      </c>
      <c r="FM43" s="13" t="str">
        <f t="shared" si="64"/>
        <v/>
      </c>
      <c r="FN43" s="13" t="str">
        <f t="shared" si="64"/>
        <v/>
      </c>
      <c r="FO43" s="13" t="str">
        <f t="shared" si="64"/>
        <v/>
      </c>
      <c r="FP43" s="13" t="str">
        <f t="shared" si="64"/>
        <v/>
      </c>
      <c r="FQ43" s="13" t="str">
        <f t="shared" si="64"/>
        <v/>
      </c>
      <c r="FR43" s="13" t="str">
        <f t="shared" si="63"/>
        <v/>
      </c>
      <c r="FS43" s="13" t="str">
        <f t="shared" si="63"/>
        <v/>
      </c>
      <c r="FT43" s="13" t="str">
        <f t="shared" si="63"/>
        <v/>
      </c>
      <c r="FU43" s="13" t="str">
        <f t="shared" si="63"/>
        <v/>
      </c>
      <c r="FV43" s="13" t="str">
        <f t="shared" si="63"/>
        <v/>
      </c>
      <c r="FW43" s="13" t="str">
        <f t="shared" si="63"/>
        <v/>
      </c>
      <c r="FX43" s="13" t="str">
        <f t="shared" si="63"/>
        <v/>
      </c>
      <c r="FY43" s="13" t="str">
        <f t="shared" si="63"/>
        <v/>
      </c>
      <c r="FZ43" s="13" t="str">
        <f t="shared" si="63"/>
        <v/>
      </c>
      <c r="GA43" s="13" t="str">
        <f t="shared" si="63"/>
        <v/>
      </c>
      <c r="GB43" s="13" t="str">
        <f t="shared" si="63"/>
        <v/>
      </c>
      <c r="GC43" s="13" t="str">
        <f t="shared" si="63"/>
        <v/>
      </c>
      <c r="GD43" s="13" t="str">
        <f t="shared" si="63"/>
        <v/>
      </c>
      <c r="GE43" s="13" t="str">
        <f t="shared" si="63"/>
        <v/>
      </c>
      <c r="GF43" s="13" t="str">
        <f t="shared" si="63"/>
        <v/>
      </c>
      <c r="GG43" s="13" t="str">
        <f t="shared" si="63"/>
        <v/>
      </c>
      <c r="GH43" s="13" t="str">
        <f t="shared" si="63"/>
        <v/>
      </c>
      <c r="GI43" s="13" t="str">
        <f t="shared" si="63"/>
        <v/>
      </c>
      <c r="GJ43" s="13" t="str">
        <f t="shared" si="63"/>
        <v/>
      </c>
      <c r="GK43" s="13" t="str">
        <f t="shared" si="63"/>
        <v/>
      </c>
      <c r="GL43" s="13" t="str">
        <f t="shared" si="63"/>
        <v/>
      </c>
      <c r="GM43" s="13" t="str">
        <f t="shared" si="63"/>
        <v/>
      </c>
      <c r="GN43" s="13" t="str">
        <f t="shared" si="63"/>
        <v/>
      </c>
      <c r="GO43" s="13" t="str">
        <f t="shared" si="63"/>
        <v/>
      </c>
      <c r="GP43" s="13" t="str">
        <f t="shared" si="63"/>
        <v/>
      </c>
      <c r="GQ43" s="13" t="str">
        <f t="shared" si="63"/>
        <v/>
      </c>
      <c r="GR43" s="13" t="str">
        <f t="shared" si="63"/>
        <v/>
      </c>
      <c r="GS43" s="13" t="str">
        <f t="shared" si="63"/>
        <v/>
      </c>
      <c r="GT43" s="13" t="str">
        <f t="shared" si="63"/>
        <v/>
      </c>
      <c r="GU43" s="13" t="str">
        <f t="shared" si="63"/>
        <v/>
      </c>
      <c r="GV43" s="13" t="str">
        <f t="shared" si="63"/>
        <v/>
      </c>
      <c r="GW43" s="13" t="str">
        <f t="shared" si="63"/>
        <v/>
      </c>
      <c r="GX43" s="13" t="str">
        <f t="shared" si="63"/>
        <v/>
      </c>
      <c r="GY43" s="13" t="str">
        <f t="shared" si="63"/>
        <v/>
      </c>
      <c r="GZ43" s="13" t="str">
        <f t="shared" si="63"/>
        <v/>
      </c>
      <c r="HA43" s="13" t="str">
        <f t="shared" si="63"/>
        <v/>
      </c>
      <c r="HB43" s="13" t="str">
        <f t="shared" si="63"/>
        <v/>
      </c>
      <c r="HC43" s="13" t="str">
        <f t="shared" si="63"/>
        <v/>
      </c>
      <c r="HD43" s="13" t="str">
        <f t="shared" si="63"/>
        <v/>
      </c>
      <c r="HE43" s="13" t="str">
        <f t="shared" si="63"/>
        <v/>
      </c>
      <c r="HF43" s="13" t="str">
        <f t="shared" si="63"/>
        <v/>
      </c>
      <c r="HG43" s="13" t="str">
        <f t="shared" si="63"/>
        <v/>
      </c>
      <c r="HH43" s="13" t="str">
        <f t="shared" si="63"/>
        <v/>
      </c>
      <c r="HI43" s="13" t="str">
        <f t="shared" si="63"/>
        <v/>
      </c>
      <c r="HJ43" s="13" t="str">
        <f t="shared" si="63"/>
        <v/>
      </c>
      <c r="HK43" s="13" t="str">
        <f t="shared" si="63"/>
        <v/>
      </c>
      <c r="HL43" s="13" t="str">
        <f t="shared" si="63"/>
        <v/>
      </c>
      <c r="HM43" s="13" t="str">
        <f t="shared" si="63"/>
        <v/>
      </c>
      <c r="HN43" s="13" t="str">
        <f t="shared" si="63"/>
        <v/>
      </c>
      <c r="HO43" s="13" t="str">
        <f t="shared" si="63"/>
        <v/>
      </c>
      <c r="HP43" s="13" t="str">
        <f t="shared" si="63"/>
        <v/>
      </c>
      <c r="HQ43" s="13" t="str">
        <f t="shared" si="63"/>
        <v/>
      </c>
      <c r="HR43" s="13" t="str">
        <f t="shared" si="63"/>
        <v/>
      </c>
      <c r="HS43" s="13" t="str">
        <f t="shared" si="63"/>
        <v/>
      </c>
      <c r="HT43" s="13" t="str">
        <f t="shared" si="63"/>
        <v/>
      </c>
      <c r="HU43" s="13" t="str">
        <f t="shared" si="63"/>
        <v/>
      </c>
      <c r="HV43" s="13" t="str">
        <f t="shared" si="63"/>
        <v/>
      </c>
      <c r="HW43" s="13" t="str">
        <f t="shared" si="63"/>
        <v/>
      </c>
      <c r="HX43" s="13" t="str">
        <f t="shared" si="63"/>
        <v/>
      </c>
      <c r="HY43" s="13" t="str">
        <f t="shared" si="63"/>
        <v/>
      </c>
      <c r="HZ43" s="13" t="str">
        <f t="shared" si="63"/>
        <v/>
      </c>
      <c r="IA43" s="13" t="str">
        <f t="shared" si="63"/>
        <v/>
      </c>
      <c r="IB43" s="13" t="str">
        <f t="shared" si="63"/>
        <v/>
      </c>
      <c r="IC43" s="13" t="str">
        <f t="shared" si="63"/>
        <v/>
      </c>
      <c r="ID43" s="13" t="str">
        <f t="shared" si="62"/>
        <v/>
      </c>
      <c r="IE43" s="13" t="str">
        <f t="shared" si="62"/>
        <v/>
      </c>
      <c r="IF43" s="13" t="str">
        <f t="shared" si="62"/>
        <v/>
      </c>
      <c r="IG43" s="13" t="str">
        <f t="shared" si="62"/>
        <v/>
      </c>
      <c r="IH43" s="13" t="str">
        <f t="shared" si="62"/>
        <v/>
      </c>
      <c r="II43" s="13" t="str">
        <f t="shared" si="62"/>
        <v/>
      </c>
      <c r="IJ43" s="13" t="str">
        <f t="shared" si="62"/>
        <v/>
      </c>
      <c r="IK43" s="13" t="str">
        <f t="shared" si="62"/>
        <v/>
      </c>
      <c r="IL43" s="13" t="str">
        <f t="shared" si="62"/>
        <v/>
      </c>
      <c r="IM43" s="13" t="str">
        <f t="shared" si="62"/>
        <v/>
      </c>
      <c r="IN43" s="13" t="str">
        <f t="shared" si="62"/>
        <v/>
      </c>
      <c r="IO43" s="13" t="str">
        <f t="shared" si="62"/>
        <v/>
      </c>
      <c r="IP43" s="13" t="str">
        <f t="shared" si="62"/>
        <v/>
      </c>
      <c r="IQ43" s="13" t="str">
        <f t="shared" si="62"/>
        <v/>
      </c>
      <c r="IR43" s="13" t="str">
        <f t="shared" si="62"/>
        <v/>
      </c>
      <c r="IS43" s="13" t="str">
        <f t="shared" si="62"/>
        <v/>
      </c>
      <c r="IT43" s="13" t="str">
        <f t="shared" si="62"/>
        <v/>
      </c>
      <c r="IU43" s="13" t="str">
        <f t="shared" si="62"/>
        <v/>
      </c>
      <c r="IV43" s="13" t="str">
        <f t="shared" si="62"/>
        <v/>
      </c>
      <c r="IW43" s="13" t="str">
        <f t="shared" si="62"/>
        <v/>
      </c>
      <c r="IX43" s="13" t="str">
        <f t="shared" si="62"/>
        <v/>
      </c>
      <c r="IY43" s="13" t="str">
        <f t="shared" si="62"/>
        <v/>
      </c>
      <c r="IZ43" s="13" t="str">
        <f t="shared" si="62"/>
        <v/>
      </c>
      <c r="JA43" s="13" t="str">
        <f t="shared" si="62"/>
        <v/>
      </c>
      <c r="JB43" s="13" t="str">
        <f t="shared" si="62"/>
        <v/>
      </c>
      <c r="JC43" s="13" t="str">
        <f t="shared" si="62"/>
        <v/>
      </c>
      <c r="JD43" s="13" t="str">
        <f t="shared" si="62"/>
        <v/>
      </c>
      <c r="JE43" s="13" t="str">
        <f t="shared" si="62"/>
        <v/>
      </c>
      <c r="JF43" s="13" t="str">
        <f t="shared" si="62"/>
        <v/>
      </c>
      <c r="JG43" s="13" t="str">
        <f t="shared" si="62"/>
        <v/>
      </c>
      <c r="JH43" s="13" t="str">
        <f t="shared" si="62"/>
        <v/>
      </c>
      <c r="JI43" s="13" t="str">
        <f t="shared" si="62"/>
        <v/>
      </c>
      <c r="JJ43" s="13" t="str">
        <f t="shared" si="62"/>
        <v/>
      </c>
      <c r="JK43" s="13" t="str">
        <f t="shared" si="62"/>
        <v/>
      </c>
      <c r="JL43" s="13" t="str">
        <f t="shared" si="62"/>
        <v/>
      </c>
      <c r="JM43" s="13" t="str">
        <f t="shared" si="62"/>
        <v/>
      </c>
      <c r="JN43" s="13" t="str">
        <f t="shared" si="62"/>
        <v/>
      </c>
      <c r="JO43" s="13" t="str">
        <f t="shared" si="62"/>
        <v/>
      </c>
      <c r="JP43" s="13" t="str">
        <f t="shared" si="62"/>
        <v/>
      </c>
      <c r="JQ43" s="13" t="str">
        <f t="shared" si="62"/>
        <v/>
      </c>
      <c r="JR43" s="13" t="str">
        <f t="shared" si="62"/>
        <v/>
      </c>
      <c r="JS43" s="13" t="str">
        <f t="shared" si="62"/>
        <v/>
      </c>
      <c r="JT43" s="13" t="str">
        <f t="shared" si="62"/>
        <v/>
      </c>
      <c r="JU43" s="13" t="str">
        <f t="shared" si="62"/>
        <v/>
      </c>
      <c r="JV43" s="13" t="str">
        <f t="shared" si="62"/>
        <v/>
      </c>
      <c r="JW43" s="13" t="str">
        <f t="shared" si="62"/>
        <v/>
      </c>
      <c r="JX43" s="13" t="str">
        <f t="shared" si="62"/>
        <v/>
      </c>
      <c r="JY43" s="13" t="str">
        <f t="shared" si="62"/>
        <v/>
      </c>
      <c r="JZ43" s="13" t="str">
        <f t="shared" si="62"/>
        <v/>
      </c>
      <c r="KA43" s="13" t="str">
        <f t="shared" si="62"/>
        <v/>
      </c>
      <c r="KB43" s="13" t="str">
        <f t="shared" si="62"/>
        <v/>
      </c>
      <c r="KC43" s="13" t="str">
        <f t="shared" si="62"/>
        <v/>
      </c>
      <c r="KD43" s="13" t="str">
        <f t="shared" si="62"/>
        <v/>
      </c>
      <c r="KE43" s="13" t="str">
        <f t="shared" si="62"/>
        <v/>
      </c>
      <c r="KF43" s="13" t="str">
        <f t="shared" si="62"/>
        <v/>
      </c>
      <c r="KG43" s="13" t="str">
        <f t="shared" si="62"/>
        <v/>
      </c>
      <c r="KH43" s="13" t="str">
        <f t="shared" si="62"/>
        <v/>
      </c>
      <c r="KI43" s="13" t="str">
        <f t="shared" si="62"/>
        <v/>
      </c>
      <c r="KJ43" s="13" t="str">
        <f t="shared" si="62"/>
        <v/>
      </c>
      <c r="KK43" s="13" t="str">
        <f t="shared" si="62"/>
        <v/>
      </c>
      <c r="KL43" s="13" t="str">
        <f t="shared" si="62"/>
        <v/>
      </c>
      <c r="KM43" s="13" t="str">
        <f t="shared" si="62"/>
        <v/>
      </c>
      <c r="KN43" s="13" t="str">
        <f t="shared" si="62"/>
        <v/>
      </c>
      <c r="KO43" s="13" t="str">
        <f t="shared" si="62"/>
        <v/>
      </c>
      <c r="KP43" s="13" t="str">
        <f t="shared" si="47"/>
        <v/>
      </c>
      <c r="KQ43" s="13" t="str">
        <f t="shared" si="47"/>
        <v/>
      </c>
      <c r="KR43" s="13" t="str">
        <f t="shared" si="47"/>
        <v/>
      </c>
      <c r="KS43" s="13" t="str">
        <f t="shared" si="44"/>
        <v/>
      </c>
      <c r="KT43" s="13" t="str">
        <f t="shared" si="59"/>
        <v/>
      </c>
      <c r="KU43" s="13" t="str">
        <f t="shared" si="59"/>
        <v/>
      </c>
      <c r="KV43" s="13" t="str">
        <f t="shared" si="59"/>
        <v/>
      </c>
      <c r="KW43" s="13" t="str">
        <f t="shared" si="59"/>
        <v/>
      </c>
      <c r="KX43" s="13" t="str">
        <f t="shared" si="59"/>
        <v/>
      </c>
      <c r="KY43" s="13" t="str">
        <f t="shared" si="59"/>
        <v/>
      </c>
      <c r="KZ43" s="13" t="str">
        <f t="shared" si="59"/>
        <v/>
      </c>
      <c r="LA43" s="13" t="str">
        <f t="shared" si="59"/>
        <v/>
      </c>
      <c r="LB43" s="13" t="str">
        <f t="shared" si="59"/>
        <v/>
      </c>
      <c r="LC43" s="13" t="str">
        <f t="shared" si="59"/>
        <v/>
      </c>
      <c r="LD43" s="13" t="str">
        <f t="shared" si="59"/>
        <v/>
      </c>
      <c r="LE43" s="13" t="str">
        <f t="shared" si="59"/>
        <v/>
      </c>
      <c r="LF43" s="13" t="str">
        <f t="shared" si="59"/>
        <v/>
      </c>
      <c r="LG43" s="13" t="str">
        <f t="shared" si="59"/>
        <v/>
      </c>
      <c r="LH43" s="13" t="str">
        <f t="shared" si="59"/>
        <v/>
      </c>
      <c r="LI43" s="13" t="str">
        <f t="shared" si="59"/>
        <v/>
      </c>
      <c r="LJ43" s="13" t="str">
        <f t="shared" si="59"/>
        <v/>
      </c>
      <c r="LK43" s="13" t="str">
        <f t="shared" si="59"/>
        <v/>
      </c>
      <c r="LL43" s="13" t="str">
        <f t="shared" si="59"/>
        <v/>
      </c>
      <c r="LM43" s="13" t="str">
        <f t="shared" si="59"/>
        <v/>
      </c>
      <c r="LN43" s="13" t="str">
        <f t="shared" si="59"/>
        <v/>
      </c>
      <c r="LO43" s="13" t="str">
        <f t="shared" si="59"/>
        <v/>
      </c>
      <c r="LP43" s="13" t="str">
        <f t="shared" si="59"/>
        <v/>
      </c>
      <c r="LQ43" s="13" t="str">
        <f t="shared" si="59"/>
        <v/>
      </c>
      <c r="LR43" s="13" t="str">
        <f t="shared" si="59"/>
        <v/>
      </c>
      <c r="LS43" s="13" t="str">
        <f t="shared" si="59"/>
        <v/>
      </c>
      <c r="LT43" s="13" t="str">
        <f t="shared" si="59"/>
        <v/>
      </c>
      <c r="LU43" s="13" t="str">
        <f t="shared" si="59"/>
        <v/>
      </c>
      <c r="LV43" s="13" t="str">
        <f t="shared" si="59"/>
        <v/>
      </c>
      <c r="LW43" s="13" t="str">
        <f t="shared" si="59"/>
        <v/>
      </c>
      <c r="LX43" s="13" t="str">
        <f t="shared" si="59"/>
        <v/>
      </c>
      <c r="LY43" s="13" t="str">
        <f t="shared" si="59"/>
        <v/>
      </c>
      <c r="LZ43" s="13" t="str">
        <f t="shared" si="59"/>
        <v/>
      </c>
      <c r="MA43" s="13" t="str">
        <f t="shared" si="59"/>
        <v/>
      </c>
      <c r="MB43" s="13" t="str">
        <f t="shared" si="59"/>
        <v/>
      </c>
      <c r="MC43" s="13" t="str">
        <f t="shared" si="59"/>
        <v/>
      </c>
      <c r="MD43" s="13" t="str">
        <f t="shared" si="59"/>
        <v/>
      </c>
      <c r="ME43" s="13" t="str">
        <f t="shared" si="59"/>
        <v/>
      </c>
      <c r="MF43" s="13" t="str">
        <f t="shared" si="59"/>
        <v/>
      </c>
      <c r="MG43" s="13" t="str">
        <f t="shared" si="59"/>
        <v/>
      </c>
    </row>
    <row r="44" spans="1:345" x14ac:dyDescent="0.2">
      <c r="A44" s="32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V44" s="8" t="str">
        <f t="shared" si="19"/>
        <v/>
      </c>
      <c r="W44" s="38" t="e">
        <f t="shared" si="7"/>
        <v>#N/A</v>
      </c>
      <c r="X44" s="38" t="e">
        <f t="shared" si="8"/>
        <v>#N/A</v>
      </c>
      <c r="Y44" s="45" t="str">
        <f t="shared" si="9"/>
        <v/>
      </c>
      <c r="Z44" s="40" t="str">
        <f t="shared" si="10"/>
        <v/>
      </c>
      <c r="AA44" s="49" t="e">
        <f t="shared" si="11"/>
        <v>#N/A</v>
      </c>
      <c r="AB44" s="40" t="str">
        <f t="shared" si="12"/>
        <v/>
      </c>
      <c r="AC44" s="49" t="e">
        <f t="shared" si="13"/>
        <v>#N/A</v>
      </c>
      <c r="AE44" s="9" t="str">
        <f t="shared" si="20"/>
        <v/>
      </c>
      <c r="AF44" s="9" t="str">
        <f t="shared" si="21"/>
        <v/>
      </c>
      <c r="AG44" s="9" t="str">
        <f t="shared" si="22"/>
        <v/>
      </c>
      <c r="AH44" s="9" t="str">
        <f t="shared" si="23"/>
        <v/>
      </c>
      <c r="AI44" s="9" t="str">
        <f t="shared" si="24"/>
        <v/>
      </c>
      <c r="AJ44" s="9" t="str">
        <f t="shared" si="25"/>
        <v/>
      </c>
      <c r="AK44" s="9" t="str">
        <f t="shared" si="26"/>
        <v/>
      </c>
      <c r="AL44" s="9" t="str">
        <f t="shared" si="27"/>
        <v/>
      </c>
      <c r="AM44" s="9" t="str">
        <f t="shared" si="28"/>
        <v/>
      </c>
      <c r="AN44" s="9" t="str">
        <f t="shared" si="29"/>
        <v/>
      </c>
      <c r="AO44" s="10" t="str">
        <f t="shared" si="30"/>
        <v/>
      </c>
      <c r="AP44" s="11">
        <f t="shared" si="31"/>
        <v>0</v>
      </c>
      <c r="AR44" s="13" t="str">
        <f t="shared" si="52"/>
        <v/>
      </c>
      <c r="AS44" s="13" t="str">
        <f t="shared" si="53"/>
        <v/>
      </c>
      <c r="AT44" s="13" t="str">
        <f t="shared" si="33"/>
        <v/>
      </c>
      <c r="AU44" s="13" t="str">
        <f t="shared" ref="AU44:DF46" si="65">IF(AU73&gt;0,TEXT(AU$50,"R"&amp;0)&amp;", ","")</f>
        <v/>
      </c>
      <c r="AV44" s="13" t="str">
        <f t="shared" si="65"/>
        <v/>
      </c>
      <c r="AW44" s="13" t="str">
        <f t="shared" si="65"/>
        <v/>
      </c>
      <c r="AX44" s="13" t="str">
        <f t="shared" si="65"/>
        <v/>
      </c>
      <c r="AY44" s="13" t="str">
        <f t="shared" si="65"/>
        <v/>
      </c>
      <c r="AZ44" s="13" t="str">
        <f t="shared" si="65"/>
        <v/>
      </c>
      <c r="BA44" s="13" t="str">
        <f t="shared" si="65"/>
        <v/>
      </c>
      <c r="BB44" s="13" t="str">
        <f t="shared" si="65"/>
        <v/>
      </c>
      <c r="BC44" s="13" t="str">
        <f t="shared" si="65"/>
        <v/>
      </c>
      <c r="BD44" s="13" t="str">
        <f t="shared" si="65"/>
        <v/>
      </c>
      <c r="BE44" s="13" t="str">
        <f t="shared" si="65"/>
        <v/>
      </c>
      <c r="BF44" s="13" t="str">
        <f t="shared" si="65"/>
        <v/>
      </c>
      <c r="BG44" s="13" t="str">
        <f t="shared" si="65"/>
        <v/>
      </c>
      <c r="BH44" s="13" t="str">
        <f t="shared" si="65"/>
        <v/>
      </c>
      <c r="BI44" s="13" t="str">
        <f t="shared" si="65"/>
        <v/>
      </c>
      <c r="BJ44" s="13" t="str">
        <f t="shared" si="65"/>
        <v/>
      </c>
      <c r="BK44" s="13" t="str">
        <f t="shared" si="65"/>
        <v/>
      </c>
      <c r="BL44" s="13" t="str">
        <f t="shared" si="65"/>
        <v/>
      </c>
      <c r="BM44" s="13" t="str">
        <f t="shared" si="65"/>
        <v/>
      </c>
      <c r="BN44" s="13" t="str">
        <f t="shared" si="65"/>
        <v/>
      </c>
      <c r="BO44" s="13" t="str">
        <f t="shared" si="65"/>
        <v/>
      </c>
      <c r="BP44" s="13" t="str">
        <f t="shared" si="65"/>
        <v/>
      </c>
      <c r="BQ44" s="13" t="str">
        <f t="shared" si="65"/>
        <v/>
      </c>
      <c r="BR44" s="13" t="str">
        <f t="shared" si="65"/>
        <v/>
      </c>
      <c r="BS44" s="13" t="str">
        <f t="shared" si="65"/>
        <v/>
      </c>
      <c r="BT44" s="13" t="str">
        <f t="shared" si="65"/>
        <v/>
      </c>
      <c r="BU44" s="13" t="str">
        <f t="shared" si="65"/>
        <v/>
      </c>
      <c r="BV44" s="13" t="str">
        <f t="shared" si="65"/>
        <v/>
      </c>
      <c r="BW44" s="13" t="str">
        <f t="shared" si="65"/>
        <v/>
      </c>
      <c r="BX44" s="13" t="str">
        <f t="shared" si="65"/>
        <v/>
      </c>
      <c r="BY44" s="13" t="str">
        <f t="shared" si="65"/>
        <v/>
      </c>
      <c r="BZ44" s="13" t="str">
        <f t="shared" si="65"/>
        <v/>
      </c>
      <c r="CA44" s="13" t="str">
        <f t="shared" si="65"/>
        <v/>
      </c>
      <c r="CB44" s="13" t="str">
        <f t="shared" si="65"/>
        <v/>
      </c>
      <c r="CC44" s="13" t="str">
        <f t="shared" si="65"/>
        <v/>
      </c>
      <c r="CD44" s="13" t="str">
        <f t="shared" si="65"/>
        <v/>
      </c>
      <c r="CE44" s="13" t="str">
        <f t="shared" si="65"/>
        <v/>
      </c>
      <c r="CF44" s="13" t="str">
        <f t="shared" si="65"/>
        <v/>
      </c>
      <c r="CG44" s="13" t="str">
        <f t="shared" si="65"/>
        <v/>
      </c>
      <c r="CH44" s="13" t="str">
        <f t="shared" si="65"/>
        <v/>
      </c>
      <c r="CI44" s="13" t="str">
        <f t="shared" si="65"/>
        <v/>
      </c>
      <c r="CJ44" s="13" t="str">
        <f t="shared" si="65"/>
        <v/>
      </c>
      <c r="CK44" s="13" t="str">
        <f t="shared" si="65"/>
        <v/>
      </c>
      <c r="CL44" s="13" t="str">
        <f t="shared" si="65"/>
        <v/>
      </c>
      <c r="CM44" s="13" t="str">
        <f t="shared" si="65"/>
        <v/>
      </c>
      <c r="CN44" s="13" t="str">
        <f t="shared" si="65"/>
        <v/>
      </c>
      <c r="CO44" s="13" t="str">
        <f t="shared" si="65"/>
        <v/>
      </c>
      <c r="CP44" s="13" t="str">
        <f t="shared" si="65"/>
        <v/>
      </c>
      <c r="CQ44" s="13" t="str">
        <f t="shared" si="65"/>
        <v/>
      </c>
      <c r="CR44" s="13" t="str">
        <f t="shared" si="65"/>
        <v/>
      </c>
      <c r="CS44" s="13" t="str">
        <f t="shared" si="65"/>
        <v/>
      </c>
      <c r="CT44" s="13" t="str">
        <f t="shared" si="65"/>
        <v/>
      </c>
      <c r="CU44" s="13" t="str">
        <f t="shared" si="65"/>
        <v/>
      </c>
      <c r="CV44" s="13" t="str">
        <f t="shared" si="65"/>
        <v/>
      </c>
      <c r="CW44" s="13" t="str">
        <f t="shared" si="65"/>
        <v/>
      </c>
      <c r="CX44" s="13" t="str">
        <f t="shared" si="65"/>
        <v/>
      </c>
      <c r="CY44" s="13" t="str">
        <f t="shared" si="65"/>
        <v/>
      </c>
      <c r="CZ44" s="13" t="str">
        <f t="shared" si="65"/>
        <v/>
      </c>
      <c r="DA44" s="13" t="str">
        <f t="shared" si="65"/>
        <v/>
      </c>
      <c r="DB44" s="13" t="str">
        <f t="shared" si="65"/>
        <v/>
      </c>
      <c r="DC44" s="13" t="str">
        <f t="shared" si="65"/>
        <v/>
      </c>
      <c r="DD44" s="13" t="str">
        <f t="shared" si="65"/>
        <v/>
      </c>
      <c r="DE44" s="13" t="str">
        <f t="shared" si="65"/>
        <v/>
      </c>
      <c r="DF44" s="13" t="str">
        <f t="shared" si="65"/>
        <v/>
      </c>
      <c r="DG44" s="13" t="str">
        <f t="shared" si="64"/>
        <v/>
      </c>
      <c r="DH44" s="13" t="str">
        <f t="shared" si="64"/>
        <v/>
      </c>
      <c r="DI44" s="13" t="str">
        <f t="shared" si="64"/>
        <v/>
      </c>
      <c r="DJ44" s="13" t="str">
        <f t="shared" si="64"/>
        <v/>
      </c>
      <c r="DK44" s="13" t="str">
        <f t="shared" si="64"/>
        <v/>
      </c>
      <c r="DL44" s="13" t="str">
        <f t="shared" si="64"/>
        <v/>
      </c>
      <c r="DM44" s="13" t="str">
        <f t="shared" si="64"/>
        <v/>
      </c>
      <c r="DN44" s="13" t="str">
        <f t="shared" si="64"/>
        <v/>
      </c>
      <c r="DO44" s="13" t="str">
        <f t="shared" si="64"/>
        <v/>
      </c>
      <c r="DP44" s="13" t="str">
        <f t="shared" si="64"/>
        <v/>
      </c>
      <c r="DQ44" s="13" t="str">
        <f t="shared" si="64"/>
        <v/>
      </c>
      <c r="DR44" s="13" t="str">
        <f t="shared" si="64"/>
        <v/>
      </c>
      <c r="DS44" s="13" t="str">
        <f t="shared" si="64"/>
        <v/>
      </c>
      <c r="DT44" s="13" t="str">
        <f t="shared" si="64"/>
        <v/>
      </c>
      <c r="DU44" s="13" t="str">
        <f t="shared" si="64"/>
        <v/>
      </c>
      <c r="DV44" s="13" t="str">
        <f t="shared" si="64"/>
        <v/>
      </c>
      <c r="DW44" s="13" t="str">
        <f t="shared" si="64"/>
        <v/>
      </c>
      <c r="DX44" s="13" t="str">
        <f t="shared" si="64"/>
        <v/>
      </c>
      <c r="DY44" s="13" t="str">
        <f t="shared" si="64"/>
        <v/>
      </c>
      <c r="DZ44" s="13" t="str">
        <f t="shared" si="64"/>
        <v/>
      </c>
      <c r="EA44" s="13" t="str">
        <f t="shared" si="64"/>
        <v/>
      </c>
      <c r="EB44" s="13" t="str">
        <f t="shared" si="64"/>
        <v/>
      </c>
      <c r="EC44" s="13" t="str">
        <f t="shared" si="64"/>
        <v/>
      </c>
      <c r="ED44" s="13" t="str">
        <f t="shared" si="64"/>
        <v/>
      </c>
      <c r="EE44" s="13" t="str">
        <f t="shared" si="64"/>
        <v/>
      </c>
      <c r="EF44" s="13" t="str">
        <f t="shared" si="64"/>
        <v/>
      </c>
      <c r="EG44" s="13" t="str">
        <f t="shared" si="64"/>
        <v/>
      </c>
      <c r="EH44" s="13" t="str">
        <f t="shared" si="64"/>
        <v/>
      </c>
      <c r="EI44" s="13" t="str">
        <f t="shared" si="64"/>
        <v/>
      </c>
      <c r="EJ44" s="13" t="str">
        <f t="shared" si="64"/>
        <v/>
      </c>
      <c r="EK44" s="13" t="str">
        <f t="shared" si="64"/>
        <v/>
      </c>
      <c r="EL44" s="13" t="str">
        <f t="shared" si="64"/>
        <v/>
      </c>
      <c r="EM44" s="13" t="str">
        <f t="shared" si="64"/>
        <v/>
      </c>
      <c r="EN44" s="13" t="str">
        <f t="shared" si="64"/>
        <v/>
      </c>
      <c r="EO44" s="13" t="str">
        <f t="shared" si="64"/>
        <v/>
      </c>
      <c r="EP44" s="13" t="str">
        <f t="shared" si="64"/>
        <v/>
      </c>
      <c r="EQ44" s="13" t="str">
        <f t="shared" si="64"/>
        <v/>
      </c>
      <c r="ER44" s="13" t="str">
        <f t="shared" si="64"/>
        <v/>
      </c>
      <c r="ES44" s="13" t="str">
        <f t="shared" si="64"/>
        <v/>
      </c>
      <c r="ET44" s="13" t="str">
        <f t="shared" si="64"/>
        <v/>
      </c>
      <c r="EU44" s="13" t="str">
        <f t="shared" si="64"/>
        <v/>
      </c>
      <c r="EV44" s="13" t="str">
        <f t="shared" si="64"/>
        <v/>
      </c>
      <c r="EW44" s="13" t="str">
        <f t="shared" si="64"/>
        <v/>
      </c>
      <c r="EX44" s="13" t="str">
        <f t="shared" si="64"/>
        <v/>
      </c>
      <c r="EY44" s="13" t="str">
        <f t="shared" si="64"/>
        <v/>
      </c>
      <c r="EZ44" s="13" t="str">
        <f t="shared" si="64"/>
        <v/>
      </c>
      <c r="FA44" s="13" t="str">
        <f t="shared" si="64"/>
        <v/>
      </c>
      <c r="FB44" s="13" t="str">
        <f t="shared" si="64"/>
        <v/>
      </c>
      <c r="FC44" s="13" t="str">
        <f t="shared" si="64"/>
        <v/>
      </c>
      <c r="FD44" s="13" t="str">
        <f t="shared" si="64"/>
        <v/>
      </c>
      <c r="FE44" s="13" t="str">
        <f t="shared" si="64"/>
        <v/>
      </c>
      <c r="FF44" s="13" t="str">
        <f t="shared" si="64"/>
        <v/>
      </c>
      <c r="FG44" s="13" t="str">
        <f t="shared" si="64"/>
        <v/>
      </c>
      <c r="FH44" s="13" t="str">
        <f t="shared" si="64"/>
        <v/>
      </c>
      <c r="FI44" s="13" t="str">
        <f t="shared" si="64"/>
        <v/>
      </c>
      <c r="FJ44" s="13" t="str">
        <f t="shared" si="64"/>
        <v/>
      </c>
      <c r="FK44" s="13" t="str">
        <f t="shared" si="64"/>
        <v/>
      </c>
      <c r="FL44" s="13" t="str">
        <f t="shared" si="64"/>
        <v/>
      </c>
      <c r="FM44" s="13" t="str">
        <f t="shared" si="64"/>
        <v/>
      </c>
      <c r="FN44" s="13" t="str">
        <f t="shared" si="64"/>
        <v/>
      </c>
      <c r="FO44" s="13" t="str">
        <f t="shared" si="64"/>
        <v/>
      </c>
      <c r="FP44" s="13" t="str">
        <f t="shared" si="64"/>
        <v/>
      </c>
      <c r="FQ44" s="13" t="str">
        <f t="shared" si="64"/>
        <v/>
      </c>
      <c r="FR44" s="13" t="str">
        <f t="shared" si="63"/>
        <v/>
      </c>
      <c r="FS44" s="13" t="str">
        <f t="shared" si="63"/>
        <v/>
      </c>
      <c r="FT44" s="13" t="str">
        <f t="shared" si="63"/>
        <v/>
      </c>
      <c r="FU44" s="13" t="str">
        <f t="shared" si="63"/>
        <v/>
      </c>
      <c r="FV44" s="13" t="str">
        <f t="shared" si="63"/>
        <v/>
      </c>
      <c r="FW44" s="13" t="str">
        <f t="shared" si="63"/>
        <v/>
      </c>
      <c r="FX44" s="13" t="str">
        <f t="shared" si="63"/>
        <v/>
      </c>
      <c r="FY44" s="13" t="str">
        <f t="shared" si="63"/>
        <v/>
      </c>
      <c r="FZ44" s="13" t="str">
        <f t="shared" si="63"/>
        <v/>
      </c>
      <c r="GA44" s="13" t="str">
        <f t="shared" si="63"/>
        <v/>
      </c>
      <c r="GB44" s="13" t="str">
        <f t="shared" si="63"/>
        <v/>
      </c>
      <c r="GC44" s="13" t="str">
        <f t="shared" si="63"/>
        <v/>
      </c>
      <c r="GD44" s="13" t="str">
        <f t="shared" si="63"/>
        <v/>
      </c>
      <c r="GE44" s="13" t="str">
        <f t="shared" si="63"/>
        <v/>
      </c>
      <c r="GF44" s="13" t="str">
        <f t="shared" si="63"/>
        <v/>
      </c>
      <c r="GG44" s="13" t="str">
        <f t="shared" si="63"/>
        <v/>
      </c>
      <c r="GH44" s="13" t="str">
        <f t="shared" si="63"/>
        <v/>
      </c>
      <c r="GI44" s="13" t="str">
        <f t="shared" si="63"/>
        <v/>
      </c>
      <c r="GJ44" s="13" t="str">
        <f t="shared" si="63"/>
        <v/>
      </c>
      <c r="GK44" s="13" t="str">
        <f t="shared" si="63"/>
        <v/>
      </c>
      <c r="GL44" s="13" t="str">
        <f t="shared" si="63"/>
        <v/>
      </c>
      <c r="GM44" s="13" t="str">
        <f t="shared" si="63"/>
        <v/>
      </c>
      <c r="GN44" s="13" t="str">
        <f t="shared" si="63"/>
        <v/>
      </c>
      <c r="GO44" s="13" t="str">
        <f t="shared" si="63"/>
        <v/>
      </c>
      <c r="GP44" s="13" t="str">
        <f t="shared" si="63"/>
        <v/>
      </c>
      <c r="GQ44" s="13" t="str">
        <f t="shared" si="63"/>
        <v/>
      </c>
      <c r="GR44" s="13" t="str">
        <f t="shared" si="63"/>
        <v/>
      </c>
      <c r="GS44" s="13" t="str">
        <f t="shared" si="63"/>
        <v/>
      </c>
      <c r="GT44" s="13" t="str">
        <f t="shared" si="63"/>
        <v/>
      </c>
      <c r="GU44" s="13" t="str">
        <f t="shared" si="63"/>
        <v/>
      </c>
      <c r="GV44" s="13" t="str">
        <f t="shared" si="63"/>
        <v/>
      </c>
      <c r="GW44" s="13" t="str">
        <f t="shared" si="63"/>
        <v/>
      </c>
      <c r="GX44" s="13" t="str">
        <f t="shared" si="63"/>
        <v/>
      </c>
      <c r="GY44" s="13" t="str">
        <f t="shared" si="63"/>
        <v/>
      </c>
      <c r="GZ44" s="13" t="str">
        <f t="shared" si="63"/>
        <v/>
      </c>
      <c r="HA44" s="13" t="str">
        <f t="shared" si="63"/>
        <v/>
      </c>
      <c r="HB44" s="13" t="str">
        <f t="shared" si="63"/>
        <v/>
      </c>
      <c r="HC44" s="13" t="str">
        <f t="shared" si="63"/>
        <v/>
      </c>
      <c r="HD44" s="13" t="str">
        <f t="shared" si="63"/>
        <v/>
      </c>
      <c r="HE44" s="13" t="str">
        <f t="shared" si="63"/>
        <v/>
      </c>
      <c r="HF44" s="13" t="str">
        <f t="shared" si="63"/>
        <v/>
      </c>
      <c r="HG44" s="13" t="str">
        <f t="shared" si="63"/>
        <v/>
      </c>
      <c r="HH44" s="13" t="str">
        <f t="shared" si="63"/>
        <v/>
      </c>
      <c r="HI44" s="13" t="str">
        <f t="shared" si="63"/>
        <v/>
      </c>
      <c r="HJ44" s="13" t="str">
        <f t="shared" si="63"/>
        <v/>
      </c>
      <c r="HK44" s="13" t="str">
        <f t="shared" si="63"/>
        <v/>
      </c>
      <c r="HL44" s="13" t="str">
        <f t="shared" si="63"/>
        <v/>
      </c>
      <c r="HM44" s="13" t="str">
        <f t="shared" si="63"/>
        <v/>
      </c>
      <c r="HN44" s="13" t="str">
        <f t="shared" si="63"/>
        <v/>
      </c>
      <c r="HO44" s="13" t="str">
        <f t="shared" si="63"/>
        <v/>
      </c>
      <c r="HP44" s="13" t="str">
        <f t="shared" si="63"/>
        <v/>
      </c>
      <c r="HQ44" s="13" t="str">
        <f t="shared" si="63"/>
        <v/>
      </c>
      <c r="HR44" s="13" t="str">
        <f t="shared" si="63"/>
        <v/>
      </c>
      <c r="HS44" s="13" t="str">
        <f t="shared" si="63"/>
        <v/>
      </c>
      <c r="HT44" s="13" t="str">
        <f t="shared" si="63"/>
        <v/>
      </c>
      <c r="HU44" s="13" t="str">
        <f t="shared" si="63"/>
        <v/>
      </c>
      <c r="HV44" s="13" t="str">
        <f t="shared" si="63"/>
        <v/>
      </c>
      <c r="HW44" s="13" t="str">
        <f t="shared" si="63"/>
        <v/>
      </c>
      <c r="HX44" s="13" t="str">
        <f t="shared" si="63"/>
        <v/>
      </c>
      <c r="HY44" s="13" t="str">
        <f t="shared" si="63"/>
        <v/>
      </c>
      <c r="HZ44" s="13" t="str">
        <f t="shared" si="63"/>
        <v/>
      </c>
      <c r="IA44" s="13" t="str">
        <f t="shared" si="63"/>
        <v/>
      </c>
      <c r="IB44" s="13" t="str">
        <f t="shared" si="63"/>
        <v/>
      </c>
      <c r="IC44" s="13" t="str">
        <f t="shared" si="63"/>
        <v/>
      </c>
      <c r="ID44" s="13" t="str">
        <f t="shared" si="62"/>
        <v/>
      </c>
      <c r="IE44" s="13" t="str">
        <f t="shared" si="62"/>
        <v/>
      </c>
      <c r="IF44" s="13" t="str">
        <f t="shared" si="62"/>
        <v/>
      </c>
      <c r="IG44" s="13" t="str">
        <f t="shared" si="62"/>
        <v/>
      </c>
      <c r="IH44" s="13" t="str">
        <f t="shared" si="62"/>
        <v/>
      </c>
      <c r="II44" s="13" t="str">
        <f t="shared" si="62"/>
        <v/>
      </c>
      <c r="IJ44" s="13" t="str">
        <f t="shared" si="62"/>
        <v/>
      </c>
      <c r="IK44" s="13" t="str">
        <f t="shared" si="62"/>
        <v/>
      </c>
      <c r="IL44" s="13" t="str">
        <f t="shared" si="62"/>
        <v/>
      </c>
      <c r="IM44" s="13" t="str">
        <f t="shared" si="62"/>
        <v/>
      </c>
      <c r="IN44" s="13" t="str">
        <f t="shared" si="62"/>
        <v/>
      </c>
      <c r="IO44" s="13" t="str">
        <f t="shared" si="62"/>
        <v/>
      </c>
      <c r="IP44" s="13" t="str">
        <f t="shared" si="62"/>
        <v/>
      </c>
      <c r="IQ44" s="13" t="str">
        <f t="shared" si="62"/>
        <v/>
      </c>
      <c r="IR44" s="13" t="str">
        <f t="shared" si="62"/>
        <v/>
      </c>
      <c r="IS44" s="13" t="str">
        <f t="shared" si="62"/>
        <v/>
      </c>
      <c r="IT44" s="13" t="str">
        <f t="shared" si="62"/>
        <v/>
      </c>
      <c r="IU44" s="13" t="str">
        <f t="shared" si="62"/>
        <v/>
      </c>
      <c r="IV44" s="13" t="str">
        <f t="shared" si="62"/>
        <v/>
      </c>
      <c r="IW44" s="13" t="str">
        <f t="shared" si="62"/>
        <v/>
      </c>
      <c r="IX44" s="13" t="str">
        <f t="shared" si="62"/>
        <v/>
      </c>
      <c r="IY44" s="13" t="str">
        <f t="shared" si="62"/>
        <v/>
      </c>
      <c r="IZ44" s="13" t="str">
        <f t="shared" si="62"/>
        <v/>
      </c>
      <c r="JA44" s="13" t="str">
        <f t="shared" si="62"/>
        <v/>
      </c>
      <c r="JB44" s="13" t="str">
        <f t="shared" si="62"/>
        <v/>
      </c>
      <c r="JC44" s="13" t="str">
        <f t="shared" si="62"/>
        <v/>
      </c>
      <c r="JD44" s="13" t="str">
        <f t="shared" si="62"/>
        <v/>
      </c>
      <c r="JE44" s="13" t="str">
        <f t="shared" si="62"/>
        <v/>
      </c>
      <c r="JF44" s="13" t="str">
        <f t="shared" si="62"/>
        <v/>
      </c>
      <c r="JG44" s="13" t="str">
        <f t="shared" si="62"/>
        <v/>
      </c>
      <c r="JH44" s="13" t="str">
        <f t="shared" si="62"/>
        <v/>
      </c>
      <c r="JI44" s="13" t="str">
        <f t="shared" si="62"/>
        <v/>
      </c>
      <c r="JJ44" s="13" t="str">
        <f t="shared" si="62"/>
        <v/>
      </c>
      <c r="JK44" s="13" t="str">
        <f t="shared" si="62"/>
        <v/>
      </c>
      <c r="JL44" s="13" t="str">
        <f t="shared" si="62"/>
        <v/>
      </c>
      <c r="JM44" s="13" t="str">
        <f t="shared" si="62"/>
        <v/>
      </c>
      <c r="JN44" s="13" t="str">
        <f t="shared" si="62"/>
        <v/>
      </c>
      <c r="JO44" s="13" t="str">
        <f t="shared" si="62"/>
        <v/>
      </c>
      <c r="JP44" s="13" t="str">
        <f t="shared" si="62"/>
        <v/>
      </c>
      <c r="JQ44" s="13" t="str">
        <f t="shared" si="62"/>
        <v/>
      </c>
      <c r="JR44" s="13" t="str">
        <f t="shared" si="62"/>
        <v/>
      </c>
      <c r="JS44" s="13" t="str">
        <f t="shared" si="62"/>
        <v/>
      </c>
      <c r="JT44" s="13" t="str">
        <f t="shared" si="62"/>
        <v/>
      </c>
      <c r="JU44" s="13" t="str">
        <f t="shared" si="62"/>
        <v/>
      </c>
      <c r="JV44" s="13" t="str">
        <f t="shared" si="62"/>
        <v/>
      </c>
      <c r="JW44" s="13" t="str">
        <f t="shared" si="62"/>
        <v/>
      </c>
      <c r="JX44" s="13" t="str">
        <f t="shared" si="62"/>
        <v/>
      </c>
      <c r="JY44" s="13" t="str">
        <f t="shared" si="62"/>
        <v/>
      </c>
      <c r="JZ44" s="13" t="str">
        <f t="shared" si="62"/>
        <v/>
      </c>
      <c r="KA44" s="13" t="str">
        <f t="shared" si="62"/>
        <v/>
      </c>
      <c r="KB44" s="13" t="str">
        <f t="shared" si="62"/>
        <v/>
      </c>
      <c r="KC44" s="13" t="str">
        <f t="shared" si="62"/>
        <v/>
      </c>
      <c r="KD44" s="13" t="str">
        <f t="shared" si="62"/>
        <v/>
      </c>
      <c r="KE44" s="13" t="str">
        <f t="shared" si="62"/>
        <v/>
      </c>
      <c r="KF44" s="13" t="str">
        <f t="shared" si="62"/>
        <v/>
      </c>
      <c r="KG44" s="13" t="str">
        <f t="shared" si="62"/>
        <v/>
      </c>
      <c r="KH44" s="13" t="str">
        <f t="shared" si="62"/>
        <v/>
      </c>
      <c r="KI44" s="13" t="str">
        <f t="shared" si="62"/>
        <v/>
      </c>
      <c r="KJ44" s="13" t="str">
        <f t="shared" si="62"/>
        <v/>
      </c>
      <c r="KK44" s="13" t="str">
        <f t="shared" si="62"/>
        <v/>
      </c>
      <c r="KL44" s="13" t="str">
        <f t="shared" si="62"/>
        <v/>
      </c>
      <c r="KM44" s="13" t="str">
        <f t="shared" si="62"/>
        <v/>
      </c>
      <c r="KN44" s="13" t="str">
        <f t="shared" si="62"/>
        <v/>
      </c>
      <c r="KO44" s="13" t="str">
        <f t="shared" ref="KO44:MG46" si="66">IF(KO73&gt;0,TEXT(KO$50,"R"&amp;0)&amp;", ","")</f>
        <v/>
      </c>
      <c r="KP44" s="13" t="str">
        <f t="shared" si="66"/>
        <v/>
      </c>
      <c r="KQ44" s="13" t="str">
        <f t="shared" si="66"/>
        <v/>
      </c>
      <c r="KR44" s="13" t="str">
        <f t="shared" si="66"/>
        <v/>
      </c>
      <c r="KS44" s="13" t="str">
        <f t="shared" si="66"/>
        <v/>
      </c>
      <c r="KT44" s="13" t="str">
        <f t="shared" si="66"/>
        <v/>
      </c>
      <c r="KU44" s="13" t="str">
        <f t="shared" si="66"/>
        <v/>
      </c>
      <c r="KV44" s="13" t="str">
        <f t="shared" si="66"/>
        <v/>
      </c>
      <c r="KW44" s="13" t="str">
        <f t="shared" si="66"/>
        <v/>
      </c>
      <c r="KX44" s="13" t="str">
        <f t="shared" si="66"/>
        <v/>
      </c>
      <c r="KY44" s="13" t="str">
        <f t="shared" si="66"/>
        <v/>
      </c>
      <c r="KZ44" s="13" t="str">
        <f t="shared" si="66"/>
        <v/>
      </c>
      <c r="LA44" s="13" t="str">
        <f t="shared" si="66"/>
        <v/>
      </c>
      <c r="LB44" s="13" t="str">
        <f t="shared" si="66"/>
        <v/>
      </c>
      <c r="LC44" s="13" t="str">
        <f t="shared" si="66"/>
        <v/>
      </c>
      <c r="LD44" s="13" t="str">
        <f t="shared" si="66"/>
        <v/>
      </c>
      <c r="LE44" s="13" t="str">
        <f t="shared" si="66"/>
        <v/>
      </c>
      <c r="LF44" s="13" t="str">
        <f t="shared" si="66"/>
        <v/>
      </c>
      <c r="LG44" s="13" t="str">
        <f t="shared" si="66"/>
        <v/>
      </c>
      <c r="LH44" s="13" t="str">
        <f t="shared" si="66"/>
        <v/>
      </c>
      <c r="LI44" s="13" t="str">
        <f t="shared" si="66"/>
        <v/>
      </c>
      <c r="LJ44" s="13" t="str">
        <f t="shared" si="66"/>
        <v/>
      </c>
      <c r="LK44" s="13" t="str">
        <f t="shared" si="66"/>
        <v/>
      </c>
      <c r="LL44" s="13" t="str">
        <f t="shared" si="66"/>
        <v/>
      </c>
      <c r="LM44" s="13" t="str">
        <f t="shared" si="66"/>
        <v/>
      </c>
      <c r="LN44" s="13" t="str">
        <f t="shared" si="66"/>
        <v/>
      </c>
      <c r="LO44" s="13" t="str">
        <f t="shared" si="66"/>
        <v/>
      </c>
      <c r="LP44" s="13" t="str">
        <f t="shared" si="66"/>
        <v/>
      </c>
      <c r="LQ44" s="13" t="str">
        <f t="shared" si="66"/>
        <v/>
      </c>
      <c r="LR44" s="13" t="str">
        <f t="shared" si="66"/>
        <v/>
      </c>
      <c r="LS44" s="13" t="str">
        <f t="shared" si="66"/>
        <v/>
      </c>
      <c r="LT44" s="13" t="str">
        <f t="shared" si="66"/>
        <v/>
      </c>
      <c r="LU44" s="13" t="str">
        <f t="shared" si="66"/>
        <v/>
      </c>
      <c r="LV44" s="13" t="str">
        <f t="shared" si="66"/>
        <v/>
      </c>
      <c r="LW44" s="13" t="str">
        <f t="shared" si="66"/>
        <v/>
      </c>
      <c r="LX44" s="13" t="str">
        <f t="shared" si="66"/>
        <v/>
      </c>
      <c r="LY44" s="13" t="str">
        <f t="shared" si="66"/>
        <v/>
      </c>
      <c r="LZ44" s="13" t="str">
        <f t="shared" si="66"/>
        <v/>
      </c>
      <c r="MA44" s="13" t="str">
        <f t="shared" si="66"/>
        <v/>
      </c>
      <c r="MB44" s="13" t="str">
        <f t="shared" si="66"/>
        <v/>
      </c>
      <c r="MC44" s="13" t="str">
        <f t="shared" si="66"/>
        <v/>
      </c>
      <c r="MD44" s="13" t="str">
        <f t="shared" si="66"/>
        <v/>
      </c>
      <c r="ME44" s="13" t="str">
        <f t="shared" si="66"/>
        <v/>
      </c>
      <c r="MF44" s="13" t="str">
        <f t="shared" si="66"/>
        <v/>
      </c>
      <c r="MG44" s="13" t="str">
        <f t="shared" si="66"/>
        <v/>
      </c>
    </row>
    <row r="45" spans="1:345" x14ac:dyDescent="0.2">
      <c r="A45" s="32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V45" s="8" t="str">
        <f t="shared" si="19"/>
        <v/>
      </c>
      <c r="W45" s="38" t="e">
        <f t="shared" si="7"/>
        <v>#N/A</v>
      </c>
      <c r="X45" s="38" t="e">
        <f t="shared" si="8"/>
        <v>#N/A</v>
      </c>
      <c r="Y45" s="45" t="str">
        <f t="shared" si="9"/>
        <v/>
      </c>
      <c r="Z45" s="40" t="str">
        <f t="shared" si="10"/>
        <v/>
      </c>
      <c r="AA45" s="49" t="e">
        <f t="shared" si="11"/>
        <v>#N/A</v>
      </c>
      <c r="AB45" s="40" t="str">
        <f t="shared" si="12"/>
        <v/>
      </c>
      <c r="AC45" s="49" t="e">
        <f t="shared" si="13"/>
        <v>#N/A</v>
      </c>
      <c r="AE45" s="9" t="str">
        <f t="shared" si="20"/>
        <v/>
      </c>
      <c r="AF45" s="9" t="str">
        <f t="shared" si="21"/>
        <v/>
      </c>
      <c r="AG45" s="9" t="str">
        <f t="shared" si="22"/>
        <v/>
      </c>
      <c r="AH45" s="9" t="str">
        <f t="shared" si="23"/>
        <v/>
      </c>
      <c r="AI45" s="9" t="str">
        <f t="shared" si="24"/>
        <v/>
      </c>
      <c r="AJ45" s="9" t="str">
        <f t="shared" si="25"/>
        <v/>
      </c>
      <c r="AK45" s="9" t="str">
        <f t="shared" si="26"/>
        <v/>
      </c>
      <c r="AL45" s="9" t="str">
        <f t="shared" si="27"/>
        <v/>
      </c>
      <c r="AM45" s="9" t="str">
        <f t="shared" si="28"/>
        <v/>
      </c>
      <c r="AN45" s="9" t="str">
        <f t="shared" si="29"/>
        <v/>
      </c>
      <c r="AO45" s="10" t="str">
        <f t="shared" si="30"/>
        <v/>
      </c>
      <c r="AP45" s="11">
        <f t="shared" si="31"/>
        <v>0</v>
      </c>
      <c r="AR45" s="13" t="str">
        <f t="shared" si="52"/>
        <v/>
      </c>
      <c r="AS45" s="13" t="str">
        <f t="shared" si="53"/>
        <v/>
      </c>
      <c r="AT45" s="13" t="str">
        <f t="shared" si="33"/>
        <v/>
      </c>
      <c r="AU45" s="13" t="str">
        <f t="shared" si="65"/>
        <v/>
      </c>
      <c r="AV45" s="13" t="str">
        <f t="shared" si="65"/>
        <v/>
      </c>
      <c r="AW45" s="13" t="str">
        <f t="shared" si="65"/>
        <v/>
      </c>
      <c r="AX45" s="13" t="str">
        <f t="shared" si="65"/>
        <v/>
      </c>
      <c r="AY45" s="13" t="str">
        <f t="shared" si="65"/>
        <v/>
      </c>
      <c r="AZ45" s="13" t="str">
        <f t="shared" si="65"/>
        <v/>
      </c>
      <c r="BA45" s="13" t="str">
        <f t="shared" si="65"/>
        <v/>
      </c>
      <c r="BB45" s="13" t="str">
        <f t="shared" si="65"/>
        <v/>
      </c>
      <c r="BC45" s="13" t="str">
        <f t="shared" si="65"/>
        <v/>
      </c>
      <c r="BD45" s="13" t="str">
        <f t="shared" si="65"/>
        <v/>
      </c>
      <c r="BE45" s="13" t="str">
        <f t="shared" si="65"/>
        <v/>
      </c>
      <c r="BF45" s="13" t="str">
        <f t="shared" si="65"/>
        <v/>
      </c>
      <c r="BG45" s="13" t="str">
        <f t="shared" si="65"/>
        <v/>
      </c>
      <c r="BH45" s="13" t="str">
        <f t="shared" si="65"/>
        <v/>
      </c>
      <c r="BI45" s="13" t="str">
        <f t="shared" si="65"/>
        <v/>
      </c>
      <c r="BJ45" s="13" t="str">
        <f t="shared" si="65"/>
        <v/>
      </c>
      <c r="BK45" s="13" t="str">
        <f t="shared" si="65"/>
        <v/>
      </c>
      <c r="BL45" s="13" t="str">
        <f t="shared" si="65"/>
        <v/>
      </c>
      <c r="BM45" s="13" t="str">
        <f t="shared" si="65"/>
        <v/>
      </c>
      <c r="BN45" s="13" t="str">
        <f t="shared" si="65"/>
        <v/>
      </c>
      <c r="BO45" s="13" t="str">
        <f t="shared" si="65"/>
        <v/>
      </c>
      <c r="BP45" s="13" t="str">
        <f t="shared" si="65"/>
        <v/>
      </c>
      <c r="BQ45" s="13" t="str">
        <f t="shared" si="65"/>
        <v/>
      </c>
      <c r="BR45" s="13" t="str">
        <f t="shared" si="65"/>
        <v/>
      </c>
      <c r="BS45" s="13" t="str">
        <f t="shared" si="65"/>
        <v/>
      </c>
      <c r="BT45" s="13" t="str">
        <f t="shared" si="65"/>
        <v/>
      </c>
      <c r="BU45" s="13" t="str">
        <f t="shared" si="65"/>
        <v/>
      </c>
      <c r="BV45" s="13" t="str">
        <f t="shared" si="65"/>
        <v/>
      </c>
      <c r="BW45" s="13" t="str">
        <f t="shared" si="65"/>
        <v/>
      </c>
      <c r="BX45" s="13" t="str">
        <f t="shared" si="65"/>
        <v/>
      </c>
      <c r="BY45" s="13" t="str">
        <f t="shared" si="65"/>
        <v/>
      </c>
      <c r="BZ45" s="13" t="str">
        <f t="shared" si="65"/>
        <v/>
      </c>
      <c r="CA45" s="13" t="str">
        <f t="shared" si="65"/>
        <v/>
      </c>
      <c r="CB45" s="13" t="str">
        <f t="shared" si="65"/>
        <v/>
      </c>
      <c r="CC45" s="13" t="str">
        <f t="shared" si="65"/>
        <v/>
      </c>
      <c r="CD45" s="13" t="str">
        <f t="shared" si="65"/>
        <v/>
      </c>
      <c r="CE45" s="13" t="str">
        <f t="shared" si="65"/>
        <v/>
      </c>
      <c r="CF45" s="13" t="str">
        <f t="shared" si="65"/>
        <v/>
      </c>
      <c r="CG45" s="13" t="str">
        <f t="shared" si="65"/>
        <v/>
      </c>
      <c r="CH45" s="13" t="str">
        <f t="shared" si="65"/>
        <v/>
      </c>
      <c r="CI45" s="13" t="str">
        <f t="shared" si="65"/>
        <v/>
      </c>
      <c r="CJ45" s="13" t="str">
        <f t="shared" si="65"/>
        <v/>
      </c>
      <c r="CK45" s="13" t="str">
        <f t="shared" si="65"/>
        <v/>
      </c>
      <c r="CL45" s="13" t="str">
        <f t="shared" si="65"/>
        <v/>
      </c>
      <c r="CM45" s="13" t="str">
        <f t="shared" si="65"/>
        <v/>
      </c>
      <c r="CN45" s="13" t="str">
        <f t="shared" si="65"/>
        <v/>
      </c>
      <c r="CO45" s="13" t="str">
        <f t="shared" si="65"/>
        <v/>
      </c>
      <c r="CP45" s="13" t="str">
        <f t="shared" si="65"/>
        <v/>
      </c>
      <c r="CQ45" s="13" t="str">
        <f t="shared" si="65"/>
        <v/>
      </c>
      <c r="CR45" s="13" t="str">
        <f t="shared" si="65"/>
        <v/>
      </c>
      <c r="CS45" s="13" t="str">
        <f t="shared" si="65"/>
        <v/>
      </c>
      <c r="CT45" s="13" t="str">
        <f t="shared" si="65"/>
        <v/>
      </c>
      <c r="CU45" s="13" t="str">
        <f t="shared" si="65"/>
        <v/>
      </c>
      <c r="CV45" s="13" t="str">
        <f t="shared" si="65"/>
        <v/>
      </c>
      <c r="CW45" s="13" t="str">
        <f t="shared" si="65"/>
        <v/>
      </c>
      <c r="CX45" s="13" t="str">
        <f t="shared" si="65"/>
        <v/>
      </c>
      <c r="CY45" s="13" t="str">
        <f t="shared" si="65"/>
        <v/>
      </c>
      <c r="CZ45" s="13" t="str">
        <f t="shared" si="65"/>
        <v/>
      </c>
      <c r="DA45" s="13" t="str">
        <f t="shared" si="65"/>
        <v/>
      </c>
      <c r="DB45" s="13" t="str">
        <f t="shared" si="65"/>
        <v/>
      </c>
      <c r="DC45" s="13" t="str">
        <f t="shared" si="65"/>
        <v/>
      </c>
      <c r="DD45" s="13" t="str">
        <f t="shared" si="65"/>
        <v/>
      </c>
      <c r="DE45" s="13" t="str">
        <f t="shared" si="65"/>
        <v/>
      </c>
      <c r="DF45" s="13" t="str">
        <f t="shared" si="65"/>
        <v/>
      </c>
      <c r="DG45" s="13" t="str">
        <f t="shared" si="64"/>
        <v/>
      </c>
      <c r="DH45" s="13" t="str">
        <f t="shared" si="64"/>
        <v/>
      </c>
      <c r="DI45" s="13" t="str">
        <f t="shared" si="64"/>
        <v/>
      </c>
      <c r="DJ45" s="13" t="str">
        <f t="shared" si="64"/>
        <v/>
      </c>
      <c r="DK45" s="13" t="str">
        <f t="shared" si="64"/>
        <v/>
      </c>
      <c r="DL45" s="13" t="str">
        <f t="shared" si="64"/>
        <v/>
      </c>
      <c r="DM45" s="13" t="str">
        <f t="shared" si="64"/>
        <v/>
      </c>
      <c r="DN45" s="13" t="str">
        <f t="shared" si="64"/>
        <v/>
      </c>
      <c r="DO45" s="13" t="str">
        <f t="shared" si="64"/>
        <v/>
      </c>
      <c r="DP45" s="13" t="str">
        <f t="shared" si="64"/>
        <v/>
      </c>
      <c r="DQ45" s="13" t="str">
        <f t="shared" si="64"/>
        <v/>
      </c>
      <c r="DR45" s="13" t="str">
        <f t="shared" si="64"/>
        <v/>
      </c>
      <c r="DS45" s="13" t="str">
        <f t="shared" si="64"/>
        <v/>
      </c>
      <c r="DT45" s="13" t="str">
        <f t="shared" si="64"/>
        <v/>
      </c>
      <c r="DU45" s="13" t="str">
        <f t="shared" si="64"/>
        <v/>
      </c>
      <c r="DV45" s="13" t="str">
        <f t="shared" si="64"/>
        <v/>
      </c>
      <c r="DW45" s="13" t="str">
        <f t="shared" si="64"/>
        <v/>
      </c>
      <c r="DX45" s="13" t="str">
        <f t="shared" si="64"/>
        <v/>
      </c>
      <c r="DY45" s="13" t="str">
        <f t="shared" si="64"/>
        <v/>
      </c>
      <c r="DZ45" s="13" t="str">
        <f t="shared" si="64"/>
        <v/>
      </c>
      <c r="EA45" s="13" t="str">
        <f t="shared" si="64"/>
        <v/>
      </c>
      <c r="EB45" s="13" t="str">
        <f t="shared" si="64"/>
        <v/>
      </c>
      <c r="EC45" s="13" t="str">
        <f t="shared" si="64"/>
        <v/>
      </c>
      <c r="ED45" s="13" t="str">
        <f t="shared" si="64"/>
        <v/>
      </c>
      <c r="EE45" s="13" t="str">
        <f t="shared" si="64"/>
        <v/>
      </c>
      <c r="EF45" s="13" t="str">
        <f t="shared" si="64"/>
        <v/>
      </c>
      <c r="EG45" s="13" t="str">
        <f t="shared" si="64"/>
        <v/>
      </c>
      <c r="EH45" s="13" t="str">
        <f t="shared" si="64"/>
        <v/>
      </c>
      <c r="EI45" s="13" t="str">
        <f t="shared" si="64"/>
        <v/>
      </c>
      <c r="EJ45" s="13" t="str">
        <f t="shared" si="64"/>
        <v/>
      </c>
      <c r="EK45" s="13" t="str">
        <f t="shared" si="64"/>
        <v/>
      </c>
      <c r="EL45" s="13" t="str">
        <f t="shared" si="64"/>
        <v/>
      </c>
      <c r="EM45" s="13" t="str">
        <f t="shared" si="64"/>
        <v/>
      </c>
      <c r="EN45" s="13" t="str">
        <f t="shared" si="64"/>
        <v/>
      </c>
      <c r="EO45" s="13" t="str">
        <f t="shared" si="64"/>
        <v/>
      </c>
      <c r="EP45" s="13" t="str">
        <f t="shared" si="64"/>
        <v/>
      </c>
      <c r="EQ45" s="13" t="str">
        <f t="shared" si="64"/>
        <v/>
      </c>
      <c r="ER45" s="13" t="str">
        <f t="shared" si="64"/>
        <v/>
      </c>
      <c r="ES45" s="13" t="str">
        <f t="shared" si="64"/>
        <v/>
      </c>
      <c r="ET45" s="13" t="str">
        <f t="shared" si="64"/>
        <v/>
      </c>
      <c r="EU45" s="13" t="str">
        <f t="shared" si="64"/>
        <v/>
      </c>
      <c r="EV45" s="13" t="str">
        <f t="shared" si="64"/>
        <v/>
      </c>
      <c r="EW45" s="13" t="str">
        <f t="shared" si="64"/>
        <v/>
      </c>
      <c r="EX45" s="13" t="str">
        <f t="shared" si="64"/>
        <v/>
      </c>
      <c r="EY45" s="13" t="str">
        <f t="shared" si="64"/>
        <v/>
      </c>
      <c r="EZ45" s="13" t="str">
        <f t="shared" si="64"/>
        <v/>
      </c>
      <c r="FA45" s="13" t="str">
        <f t="shared" si="64"/>
        <v/>
      </c>
      <c r="FB45" s="13" t="str">
        <f t="shared" si="64"/>
        <v/>
      </c>
      <c r="FC45" s="13" t="str">
        <f t="shared" si="64"/>
        <v/>
      </c>
      <c r="FD45" s="13" t="str">
        <f t="shared" si="64"/>
        <v/>
      </c>
      <c r="FE45" s="13" t="str">
        <f t="shared" si="64"/>
        <v/>
      </c>
      <c r="FF45" s="13" t="str">
        <f t="shared" si="64"/>
        <v/>
      </c>
      <c r="FG45" s="13" t="str">
        <f t="shared" si="64"/>
        <v/>
      </c>
      <c r="FH45" s="13" t="str">
        <f t="shared" si="64"/>
        <v/>
      </c>
      <c r="FI45" s="13" t="str">
        <f t="shared" si="64"/>
        <v/>
      </c>
      <c r="FJ45" s="13" t="str">
        <f t="shared" si="64"/>
        <v/>
      </c>
      <c r="FK45" s="13" t="str">
        <f t="shared" si="64"/>
        <v/>
      </c>
      <c r="FL45" s="13" t="str">
        <f t="shared" si="64"/>
        <v/>
      </c>
      <c r="FM45" s="13" t="str">
        <f t="shared" si="64"/>
        <v/>
      </c>
      <c r="FN45" s="13" t="str">
        <f t="shared" si="64"/>
        <v/>
      </c>
      <c r="FO45" s="13" t="str">
        <f t="shared" si="64"/>
        <v/>
      </c>
      <c r="FP45" s="13" t="str">
        <f t="shared" si="64"/>
        <v/>
      </c>
      <c r="FQ45" s="13" t="str">
        <f t="shared" si="64"/>
        <v/>
      </c>
      <c r="FR45" s="13" t="str">
        <f t="shared" si="63"/>
        <v/>
      </c>
      <c r="FS45" s="13" t="str">
        <f t="shared" si="63"/>
        <v/>
      </c>
      <c r="FT45" s="13" t="str">
        <f t="shared" si="63"/>
        <v/>
      </c>
      <c r="FU45" s="13" t="str">
        <f t="shared" si="63"/>
        <v/>
      </c>
      <c r="FV45" s="13" t="str">
        <f t="shared" si="63"/>
        <v/>
      </c>
      <c r="FW45" s="13" t="str">
        <f t="shared" si="63"/>
        <v/>
      </c>
      <c r="FX45" s="13" t="str">
        <f t="shared" si="63"/>
        <v/>
      </c>
      <c r="FY45" s="13" t="str">
        <f t="shared" si="63"/>
        <v/>
      </c>
      <c r="FZ45" s="13" t="str">
        <f t="shared" si="63"/>
        <v/>
      </c>
      <c r="GA45" s="13" t="str">
        <f t="shared" si="63"/>
        <v/>
      </c>
      <c r="GB45" s="13" t="str">
        <f t="shared" si="63"/>
        <v/>
      </c>
      <c r="GC45" s="13" t="str">
        <f t="shared" si="63"/>
        <v/>
      </c>
      <c r="GD45" s="13" t="str">
        <f t="shared" si="63"/>
        <v/>
      </c>
      <c r="GE45" s="13" t="str">
        <f t="shared" si="63"/>
        <v/>
      </c>
      <c r="GF45" s="13" t="str">
        <f t="shared" si="63"/>
        <v/>
      </c>
      <c r="GG45" s="13" t="str">
        <f t="shared" si="63"/>
        <v/>
      </c>
      <c r="GH45" s="13" t="str">
        <f t="shared" si="63"/>
        <v/>
      </c>
      <c r="GI45" s="13" t="str">
        <f t="shared" si="63"/>
        <v/>
      </c>
      <c r="GJ45" s="13" t="str">
        <f t="shared" si="63"/>
        <v/>
      </c>
      <c r="GK45" s="13" t="str">
        <f t="shared" si="63"/>
        <v/>
      </c>
      <c r="GL45" s="13" t="str">
        <f t="shared" si="63"/>
        <v/>
      </c>
      <c r="GM45" s="13" t="str">
        <f t="shared" si="63"/>
        <v/>
      </c>
      <c r="GN45" s="13" t="str">
        <f t="shared" si="63"/>
        <v/>
      </c>
      <c r="GO45" s="13" t="str">
        <f t="shared" si="63"/>
        <v/>
      </c>
      <c r="GP45" s="13" t="str">
        <f t="shared" si="63"/>
        <v/>
      </c>
      <c r="GQ45" s="13" t="str">
        <f t="shared" si="63"/>
        <v/>
      </c>
      <c r="GR45" s="13" t="str">
        <f t="shared" si="63"/>
        <v/>
      </c>
      <c r="GS45" s="13" t="str">
        <f t="shared" si="63"/>
        <v/>
      </c>
      <c r="GT45" s="13" t="str">
        <f t="shared" si="63"/>
        <v/>
      </c>
      <c r="GU45" s="13" t="str">
        <f t="shared" si="63"/>
        <v/>
      </c>
      <c r="GV45" s="13" t="str">
        <f t="shared" si="63"/>
        <v/>
      </c>
      <c r="GW45" s="13" t="str">
        <f t="shared" si="63"/>
        <v/>
      </c>
      <c r="GX45" s="13" t="str">
        <f t="shared" si="63"/>
        <v/>
      </c>
      <c r="GY45" s="13" t="str">
        <f t="shared" si="63"/>
        <v/>
      </c>
      <c r="GZ45" s="13" t="str">
        <f t="shared" si="63"/>
        <v/>
      </c>
      <c r="HA45" s="13" t="str">
        <f t="shared" si="63"/>
        <v/>
      </c>
      <c r="HB45" s="13" t="str">
        <f t="shared" si="63"/>
        <v/>
      </c>
      <c r="HC45" s="13" t="str">
        <f t="shared" si="63"/>
        <v/>
      </c>
      <c r="HD45" s="13" t="str">
        <f t="shared" si="63"/>
        <v/>
      </c>
      <c r="HE45" s="13" t="str">
        <f t="shared" si="63"/>
        <v/>
      </c>
      <c r="HF45" s="13" t="str">
        <f t="shared" si="63"/>
        <v/>
      </c>
      <c r="HG45" s="13" t="str">
        <f t="shared" si="63"/>
        <v/>
      </c>
      <c r="HH45" s="13" t="str">
        <f t="shared" si="63"/>
        <v/>
      </c>
      <c r="HI45" s="13" t="str">
        <f t="shared" si="63"/>
        <v/>
      </c>
      <c r="HJ45" s="13" t="str">
        <f t="shared" si="63"/>
        <v/>
      </c>
      <c r="HK45" s="13" t="str">
        <f t="shared" si="63"/>
        <v/>
      </c>
      <c r="HL45" s="13" t="str">
        <f t="shared" si="63"/>
        <v/>
      </c>
      <c r="HM45" s="13" t="str">
        <f t="shared" si="63"/>
        <v/>
      </c>
      <c r="HN45" s="13" t="str">
        <f t="shared" si="63"/>
        <v/>
      </c>
      <c r="HO45" s="13" t="str">
        <f t="shared" si="63"/>
        <v/>
      </c>
      <c r="HP45" s="13" t="str">
        <f t="shared" si="63"/>
        <v/>
      </c>
      <c r="HQ45" s="13" t="str">
        <f t="shared" si="63"/>
        <v/>
      </c>
      <c r="HR45" s="13" t="str">
        <f t="shared" si="63"/>
        <v/>
      </c>
      <c r="HS45" s="13" t="str">
        <f t="shared" si="63"/>
        <v/>
      </c>
      <c r="HT45" s="13" t="str">
        <f t="shared" si="63"/>
        <v/>
      </c>
      <c r="HU45" s="13" t="str">
        <f t="shared" si="63"/>
        <v/>
      </c>
      <c r="HV45" s="13" t="str">
        <f t="shared" si="63"/>
        <v/>
      </c>
      <c r="HW45" s="13" t="str">
        <f t="shared" si="63"/>
        <v/>
      </c>
      <c r="HX45" s="13" t="str">
        <f t="shared" si="63"/>
        <v/>
      </c>
      <c r="HY45" s="13" t="str">
        <f t="shared" si="63"/>
        <v/>
      </c>
      <c r="HZ45" s="13" t="str">
        <f t="shared" si="63"/>
        <v/>
      </c>
      <c r="IA45" s="13" t="str">
        <f t="shared" si="63"/>
        <v/>
      </c>
      <c r="IB45" s="13" t="str">
        <f t="shared" si="63"/>
        <v/>
      </c>
      <c r="IC45" s="13" t="str">
        <f t="shared" ref="IC45:KN46" si="67">IF(IC74&gt;0,TEXT(IC$50,"R"&amp;0)&amp;", ","")</f>
        <v/>
      </c>
      <c r="ID45" s="13" t="str">
        <f t="shared" si="67"/>
        <v/>
      </c>
      <c r="IE45" s="13" t="str">
        <f t="shared" si="67"/>
        <v/>
      </c>
      <c r="IF45" s="13" t="str">
        <f t="shared" si="67"/>
        <v/>
      </c>
      <c r="IG45" s="13" t="str">
        <f t="shared" si="67"/>
        <v/>
      </c>
      <c r="IH45" s="13" t="str">
        <f t="shared" si="67"/>
        <v/>
      </c>
      <c r="II45" s="13" t="str">
        <f t="shared" si="67"/>
        <v/>
      </c>
      <c r="IJ45" s="13" t="str">
        <f t="shared" si="67"/>
        <v/>
      </c>
      <c r="IK45" s="13" t="str">
        <f t="shared" si="67"/>
        <v/>
      </c>
      <c r="IL45" s="13" t="str">
        <f t="shared" si="67"/>
        <v/>
      </c>
      <c r="IM45" s="13" t="str">
        <f t="shared" si="67"/>
        <v/>
      </c>
      <c r="IN45" s="13" t="str">
        <f t="shared" si="67"/>
        <v/>
      </c>
      <c r="IO45" s="13" t="str">
        <f t="shared" si="67"/>
        <v/>
      </c>
      <c r="IP45" s="13" t="str">
        <f t="shared" si="67"/>
        <v/>
      </c>
      <c r="IQ45" s="13" t="str">
        <f t="shared" si="67"/>
        <v/>
      </c>
      <c r="IR45" s="13" t="str">
        <f t="shared" si="67"/>
        <v/>
      </c>
      <c r="IS45" s="13" t="str">
        <f t="shared" si="67"/>
        <v/>
      </c>
      <c r="IT45" s="13" t="str">
        <f t="shared" si="67"/>
        <v/>
      </c>
      <c r="IU45" s="13" t="str">
        <f t="shared" si="67"/>
        <v/>
      </c>
      <c r="IV45" s="13" t="str">
        <f t="shared" si="67"/>
        <v/>
      </c>
      <c r="IW45" s="13" t="str">
        <f t="shared" si="67"/>
        <v/>
      </c>
      <c r="IX45" s="13" t="str">
        <f t="shared" si="67"/>
        <v/>
      </c>
      <c r="IY45" s="13" t="str">
        <f t="shared" si="67"/>
        <v/>
      </c>
      <c r="IZ45" s="13" t="str">
        <f t="shared" si="67"/>
        <v/>
      </c>
      <c r="JA45" s="13" t="str">
        <f t="shared" si="67"/>
        <v/>
      </c>
      <c r="JB45" s="13" t="str">
        <f t="shared" si="67"/>
        <v/>
      </c>
      <c r="JC45" s="13" t="str">
        <f t="shared" si="67"/>
        <v/>
      </c>
      <c r="JD45" s="13" t="str">
        <f t="shared" si="67"/>
        <v/>
      </c>
      <c r="JE45" s="13" t="str">
        <f t="shared" si="67"/>
        <v/>
      </c>
      <c r="JF45" s="13" t="str">
        <f t="shared" si="67"/>
        <v/>
      </c>
      <c r="JG45" s="13" t="str">
        <f t="shared" si="67"/>
        <v/>
      </c>
      <c r="JH45" s="13" t="str">
        <f t="shared" si="67"/>
        <v/>
      </c>
      <c r="JI45" s="13" t="str">
        <f t="shared" si="67"/>
        <v/>
      </c>
      <c r="JJ45" s="13" t="str">
        <f t="shared" si="67"/>
        <v/>
      </c>
      <c r="JK45" s="13" t="str">
        <f t="shared" si="67"/>
        <v/>
      </c>
      <c r="JL45" s="13" t="str">
        <f t="shared" si="67"/>
        <v/>
      </c>
      <c r="JM45" s="13" t="str">
        <f t="shared" si="67"/>
        <v/>
      </c>
      <c r="JN45" s="13" t="str">
        <f t="shared" si="67"/>
        <v/>
      </c>
      <c r="JO45" s="13" t="str">
        <f t="shared" si="67"/>
        <v/>
      </c>
      <c r="JP45" s="13" t="str">
        <f t="shared" si="67"/>
        <v/>
      </c>
      <c r="JQ45" s="13" t="str">
        <f t="shared" si="67"/>
        <v/>
      </c>
      <c r="JR45" s="13" t="str">
        <f t="shared" si="67"/>
        <v/>
      </c>
      <c r="JS45" s="13" t="str">
        <f t="shared" si="67"/>
        <v/>
      </c>
      <c r="JT45" s="13" t="str">
        <f t="shared" si="67"/>
        <v/>
      </c>
      <c r="JU45" s="13" t="str">
        <f t="shared" si="67"/>
        <v/>
      </c>
      <c r="JV45" s="13" t="str">
        <f t="shared" si="67"/>
        <v/>
      </c>
      <c r="JW45" s="13" t="str">
        <f t="shared" si="67"/>
        <v/>
      </c>
      <c r="JX45" s="13" t="str">
        <f t="shared" si="67"/>
        <v/>
      </c>
      <c r="JY45" s="13" t="str">
        <f t="shared" si="67"/>
        <v/>
      </c>
      <c r="JZ45" s="13" t="str">
        <f t="shared" si="67"/>
        <v/>
      </c>
      <c r="KA45" s="13" t="str">
        <f t="shared" si="67"/>
        <v/>
      </c>
      <c r="KB45" s="13" t="str">
        <f t="shared" si="67"/>
        <v/>
      </c>
      <c r="KC45" s="13" t="str">
        <f t="shared" si="67"/>
        <v/>
      </c>
      <c r="KD45" s="13" t="str">
        <f t="shared" si="67"/>
        <v/>
      </c>
      <c r="KE45" s="13" t="str">
        <f t="shared" si="67"/>
        <v/>
      </c>
      <c r="KF45" s="13" t="str">
        <f t="shared" si="67"/>
        <v/>
      </c>
      <c r="KG45" s="13" t="str">
        <f t="shared" si="67"/>
        <v/>
      </c>
      <c r="KH45" s="13" t="str">
        <f t="shared" si="67"/>
        <v/>
      </c>
      <c r="KI45" s="13" t="str">
        <f t="shared" si="67"/>
        <v/>
      </c>
      <c r="KJ45" s="13" t="str">
        <f t="shared" si="67"/>
        <v/>
      </c>
      <c r="KK45" s="13" t="str">
        <f t="shared" si="67"/>
        <v/>
      </c>
      <c r="KL45" s="13" t="str">
        <f t="shared" si="67"/>
        <v/>
      </c>
      <c r="KM45" s="13" t="str">
        <f t="shared" si="67"/>
        <v/>
      </c>
      <c r="KN45" s="13" t="str">
        <f t="shared" si="67"/>
        <v/>
      </c>
      <c r="KO45" s="13" t="str">
        <f t="shared" si="66"/>
        <v/>
      </c>
      <c r="KP45" s="13" t="str">
        <f t="shared" si="66"/>
        <v/>
      </c>
      <c r="KQ45" s="13" t="str">
        <f t="shared" si="66"/>
        <v/>
      </c>
      <c r="KR45" s="13" t="str">
        <f t="shared" si="66"/>
        <v/>
      </c>
      <c r="KS45" s="13" t="str">
        <f t="shared" si="66"/>
        <v/>
      </c>
      <c r="KT45" s="13" t="str">
        <f t="shared" si="66"/>
        <v/>
      </c>
      <c r="KU45" s="13" t="str">
        <f t="shared" si="66"/>
        <v/>
      </c>
      <c r="KV45" s="13" t="str">
        <f t="shared" si="66"/>
        <v/>
      </c>
      <c r="KW45" s="13" t="str">
        <f t="shared" si="66"/>
        <v/>
      </c>
      <c r="KX45" s="13" t="str">
        <f t="shared" si="66"/>
        <v/>
      </c>
      <c r="KY45" s="13" t="str">
        <f t="shared" si="66"/>
        <v/>
      </c>
      <c r="KZ45" s="13" t="str">
        <f t="shared" si="66"/>
        <v/>
      </c>
      <c r="LA45" s="13" t="str">
        <f t="shared" si="66"/>
        <v/>
      </c>
      <c r="LB45" s="13" t="str">
        <f t="shared" si="66"/>
        <v/>
      </c>
      <c r="LC45" s="13" t="str">
        <f t="shared" si="66"/>
        <v/>
      </c>
      <c r="LD45" s="13" t="str">
        <f t="shared" si="66"/>
        <v/>
      </c>
      <c r="LE45" s="13" t="str">
        <f t="shared" si="66"/>
        <v/>
      </c>
      <c r="LF45" s="13" t="str">
        <f t="shared" si="66"/>
        <v/>
      </c>
      <c r="LG45" s="13" t="str">
        <f t="shared" si="66"/>
        <v/>
      </c>
      <c r="LH45" s="13" t="str">
        <f t="shared" si="66"/>
        <v/>
      </c>
      <c r="LI45" s="13" t="str">
        <f t="shared" si="66"/>
        <v/>
      </c>
      <c r="LJ45" s="13" t="str">
        <f t="shared" si="66"/>
        <v/>
      </c>
      <c r="LK45" s="13" t="str">
        <f t="shared" si="66"/>
        <v/>
      </c>
      <c r="LL45" s="13" t="str">
        <f t="shared" si="66"/>
        <v/>
      </c>
      <c r="LM45" s="13" t="str">
        <f t="shared" si="66"/>
        <v/>
      </c>
      <c r="LN45" s="13" t="str">
        <f t="shared" si="66"/>
        <v/>
      </c>
      <c r="LO45" s="13" t="str">
        <f t="shared" si="66"/>
        <v/>
      </c>
      <c r="LP45" s="13" t="str">
        <f t="shared" si="66"/>
        <v/>
      </c>
      <c r="LQ45" s="13" t="str">
        <f t="shared" si="66"/>
        <v/>
      </c>
      <c r="LR45" s="13" t="str">
        <f t="shared" si="66"/>
        <v/>
      </c>
      <c r="LS45" s="13" t="str">
        <f t="shared" si="66"/>
        <v/>
      </c>
      <c r="LT45" s="13" t="str">
        <f t="shared" si="66"/>
        <v/>
      </c>
      <c r="LU45" s="13" t="str">
        <f t="shared" si="66"/>
        <v/>
      </c>
      <c r="LV45" s="13" t="str">
        <f t="shared" si="66"/>
        <v/>
      </c>
      <c r="LW45" s="13" t="str">
        <f t="shared" si="66"/>
        <v/>
      </c>
      <c r="LX45" s="13" t="str">
        <f t="shared" si="66"/>
        <v/>
      </c>
      <c r="LY45" s="13" t="str">
        <f t="shared" si="66"/>
        <v/>
      </c>
      <c r="LZ45" s="13" t="str">
        <f t="shared" si="66"/>
        <v/>
      </c>
      <c r="MA45" s="13" t="str">
        <f t="shared" si="66"/>
        <v/>
      </c>
      <c r="MB45" s="13" t="str">
        <f t="shared" si="66"/>
        <v/>
      </c>
      <c r="MC45" s="13" t="str">
        <f t="shared" si="66"/>
        <v/>
      </c>
      <c r="MD45" s="13" t="str">
        <f t="shared" si="66"/>
        <v/>
      </c>
      <c r="ME45" s="13" t="str">
        <f t="shared" si="66"/>
        <v/>
      </c>
      <c r="MF45" s="13" t="str">
        <f t="shared" si="66"/>
        <v/>
      </c>
      <c r="MG45" s="13" t="str">
        <f t="shared" si="66"/>
        <v/>
      </c>
    </row>
    <row r="46" spans="1:345" x14ac:dyDescent="0.2">
      <c r="A46" s="32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V46" s="14" t="str">
        <f t="shared" si="19"/>
        <v/>
      </c>
      <c r="W46" s="42" t="e">
        <f t="shared" si="7"/>
        <v>#N/A</v>
      </c>
      <c r="X46" s="42" t="e">
        <f t="shared" si="8"/>
        <v>#N/A</v>
      </c>
      <c r="Y46" s="47" t="str">
        <f t="shared" si="9"/>
        <v/>
      </c>
      <c r="Z46" s="43" t="str">
        <f t="shared" si="10"/>
        <v/>
      </c>
      <c r="AA46" s="50" t="e">
        <f t="shared" si="11"/>
        <v>#N/A</v>
      </c>
      <c r="AB46" s="43" t="str">
        <f t="shared" si="12"/>
        <v/>
      </c>
      <c r="AC46" s="50" t="e">
        <f t="shared" si="13"/>
        <v>#N/A</v>
      </c>
      <c r="AE46" s="9" t="str">
        <f t="shared" si="20"/>
        <v/>
      </c>
      <c r="AF46" s="9" t="str">
        <f t="shared" si="21"/>
        <v/>
      </c>
      <c r="AG46" s="9" t="str">
        <f t="shared" si="22"/>
        <v/>
      </c>
      <c r="AH46" s="9" t="str">
        <f t="shared" si="23"/>
        <v/>
      </c>
      <c r="AI46" s="9" t="str">
        <f t="shared" si="24"/>
        <v/>
      </c>
      <c r="AJ46" s="9" t="str">
        <f t="shared" si="25"/>
        <v/>
      </c>
      <c r="AK46" s="9" t="str">
        <f t="shared" si="26"/>
        <v/>
      </c>
      <c r="AL46" s="9" t="str">
        <f t="shared" si="27"/>
        <v/>
      </c>
      <c r="AM46" s="9" t="str">
        <f t="shared" si="28"/>
        <v/>
      </c>
      <c r="AN46" s="9" t="str">
        <f t="shared" si="29"/>
        <v/>
      </c>
      <c r="AO46" s="10" t="str">
        <f t="shared" si="30"/>
        <v/>
      </c>
      <c r="AP46" s="11">
        <f t="shared" si="31"/>
        <v>0</v>
      </c>
      <c r="AR46" s="13" t="str">
        <f t="shared" si="52"/>
        <v/>
      </c>
      <c r="AS46" s="13" t="str">
        <f t="shared" si="53"/>
        <v/>
      </c>
      <c r="AT46" s="13" t="str">
        <f t="shared" si="33"/>
        <v/>
      </c>
      <c r="AU46" s="13" t="str">
        <f t="shared" si="65"/>
        <v/>
      </c>
      <c r="AV46" s="13" t="str">
        <f t="shared" si="65"/>
        <v/>
      </c>
      <c r="AW46" s="13" t="str">
        <f t="shared" si="65"/>
        <v/>
      </c>
      <c r="AX46" s="13" t="str">
        <f t="shared" si="65"/>
        <v/>
      </c>
      <c r="AY46" s="13" t="str">
        <f t="shared" si="65"/>
        <v/>
      </c>
      <c r="AZ46" s="13" t="str">
        <f t="shared" si="65"/>
        <v/>
      </c>
      <c r="BA46" s="13" t="str">
        <f t="shared" si="65"/>
        <v/>
      </c>
      <c r="BB46" s="13" t="str">
        <f t="shared" si="65"/>
        <v/>
      </c>
      <c r="BC46" s="13" t="str">
        <f t="shared" si="65"/>
        <v/>
      </c>
      <c r="BD46" s="13" t="str">
        <f t="shared" si="65"/>
        <v/>
      </c>
      <c r="BE46" s="13" t="str">
        <f t="shared" si="65"/>
        <v/>
      </c>
      <c r="BF46" s="13" t="str">
        <f t="shared" si="65"/>
        <v/>
      </c>
      <c r="BG46" s="13" t="str">
        <f t="shared" si="65"/>
        <v/>
      </c>
      <c r="BH46" s="13" t="str">
        <f t="shared" si="65"/>
        <v/>
      </c>
      <c r="BI46" s="13" t="str">
        <f t="shared" si="65"/>
        <v/>
      </c>
      <c r="BJ46" s="13" t="str">
        <f t="shared" si="65"/>
        <v/>
      </c>
      <c r="BK46" s="13" t="str">
        <f t="shared" si="65"/>
        <v/>
      </c>
      <c r="BL46" s="13" t="str">
        <f t="shared" si="65"/>
        <v/>
      </c>
      <c r="BM46" s="13" t="str">
        <f t="shared" si="65"/>
        <v/>
      </c>
      <c r="BN46" s="13" t="str">
        <f t="shared" si="65"/>
        <v/>
      </c>
      <c r="BO46" s="13" t="str">
        <f t="shared" si="65"/>
        <v/>
      </c>
      <c r="BP46" s="13" t="str">
        <f t="shared" si="65"/>
        <v/>
      </c>
      <c r="BQ46" s="13" t="str">
        <f t="shared" si="65"/>
        <v/>
      </c>
      <c r="BR46" s="13" t="str">
        <f t="shared" si="65"/>
        <v/>
      </c>
      <c r="BS46" s="13" t="str">
        <f t="shared" si="65"/>
        <v/>
      </c>
      <c r="BT46" s="13" t="str">
        <f t="shared" si="65"/>
        <v/>
      </c>
      <c r="BU46" s="13" t="str">
        <f t="shared" si="65"/>
        <v/>
      </c>
      <c r="BV46" s="13" t="str">
        <f t="shared" si="65"/>
        <v/>
      </c>
      <c r="BW46" s="13" t="str">
        <f t="shared" si="65"/>
        <v/>
      </c>
      <c r="BX46" s="13" t="str">
        <f t="shared" si="65"/>
        <v/>
      </c>
      <c r="BY46" s="13" t="str">
        <f t="shared" si="65"/>
        <v/>
      </c>
      <c r="BZ46" s="13" t="str">
        <f t="shared" si="65"/>
        <v/>
      </c>
      <c r="CA46" s="13" t="str">
        <f t="shared" si="65"/>
        <v/>
      </c>
      <c r="CB46" s="13" t="str">
        <f t="shared" si="65"/>
        <v/>
      </c>
      <c r="CC46" s="13" t="str">
        <f t="shared" si="65"/>
        <v/>
      </c>
      <c r="CD46" s="13" t="str">
        <f t="shared" si="65"/>
        <v/>
      </c>
      <c r="CE46" s="13" t="str">
        <f t="shared" si="65"/>
        <v/>
      </c>
      <c r="CF46" s="13" t="str">
        <f t="shared" si="65"/>
        <v/>
      </c>
      <c r="CG46" s="13" t="str">
        <f t="shared" si="65"/>
        <v/>
      </c>
      <c r="CH46" s="13" t="str">
        <f t="shared" si="65"/>
        <v/>
      </c>
      <c r="CI46" s="13" t="str">
        <f t="shared" si="65"/>
        <v/>
      </c>
      <c r="CJ46" s="13" t="str">
        <f t="shared" si="65"/>
        <v/>
      </c>
      <c r="CK46" s="13" t="str">
        <f t="shared" si="65"/>
        <v/>
      </c>
      <c r="CL46" s="13" t="str">
        <f t="shared" si="65"/>
        <v/>
      </c>
      <c r="CM46" s="13" t="str">
        <f t="shared" si="65"/>
        <v/>
      </c>
      <c r="CN46" s="13" t="str">
        <f t="shared" si="65"/>
        <v/>
      </c>
      <c r="CO46" s="13" t="str">
        <f t="shared" si="65"/>
        <v/>
      </c>
      <c r="CP46" s="13" t="str">
        <f t="shared" si="65"/>
        <v/>
      </c>
      <c r="CQ46" s="13" t="str">
        <f t="shared" si="65"/>
        <v/>
      </c>
      <c r="CR46" s="13" t="str">
        <f t="shared" si="65"/>
        <v/>
      </c>
      <c r="CS46" s="13" t="str">
        <f t="shared" si="65"/>
        <v/>
      </c>
      <c r="CT46" s="13" t="str">
        <f t="shared" si="65"/>
        <v/>
      </c>
      <c r="CU46" s="13" t="str">
        <f t="shared" si="65"/>
        <v/>
      </c>
      <c r="CV46" s="13" t="str">
        <f t="shared" si="65"/>
        <v/>
      </c>
      <c r="CW46" s="13" t="str">
        <f t="shared" si="65"/>
        <v/>
      </c>
      <c r="CX46" s="13" t="str">
        <f t="shared" si="65"/>
        <v/>
      </c>
      <c r="CY46" s="13" t="str">
        <f t="shared" si="65"/>
        <v/>
      </c>
      <c r="CZ46" s="13" t="str">
        <f t="shared" si="65"/>
        <v/>
      </c>
      <c r="DA46" s="13" t="str">
        <f t="shared" si="65"/>
        <v/>
      </c>
      <c r="DB46" s="13" t="str">
        <f t="shared" si="65"/>
        <v/>
      </c>
      <c r="DC46" s="13" t="str">
        <f t="shared" si="65"/>
        <v/>
      </c>
      <c r="DD46" s="13" t="str">
        <f t="shared" si="65"/>
        <v/>
      </c>
      <c r="DE46" s="13" t="str">
        <f t="shared" si="65"/>
        <v/>
      </c>
      <c r="DF46" s="13" t="str">
        <f t="shared" si="65"/>
        <v/>
      </c>
      <c r="DG46" s="13" t="str">
        <f t="shared" si="64"/>
        <v/>
      </c>
      <c r="DH46" s="13" t="str">
        <f t="shared" si="64"/>
        <v/>
      </c>
      <c r="DI46" s="13" t="str">
        <f t="shared" si="64"/>
        <v/>
      </c>
      <c r="DJ46" s="13" t="str">
        <f t="shared" si="64"/>
        <v/>
      </c>
      <c r="DK46" s="13" t="str">
        <f t="shared" si="64"/>
        <v/>
      </c>
      <c r="DL46" s="13" t="str">
        <f t="shared" si="64"/>
        <v/>
      </c>
      <c r="DM46" s="13" t="str">
        <f t="shared" si="64"/>
        <v/>
      </c>
      <c r="DN46" s="13" t="str">
        <f t="shared" si="64"/>
        <v/>
      </c>
      <c r="DO46" s="13" t="str">
        <f t="shared" si="64"/>
        <v/>
      </c>
      <c r="DP46" s="13" t="str">
        <f t="shared" si="64"/>
        <v/>
      </c>
      <c r="DQ46" s="13" t="str">
        <f t="shared" si="64"/>
        <v/>
      </c>
      <c r="DR46" s="13" t="str">
        <f t="shared" si="64"/>
        <v/>
      </c>
      <c r="DS46" s="13" t="str">
        <f t="shared" si="64"/>
        <v/>
      </c>
      <c r="DT46" s="13" t="str">
        <f t="shared" si="64"/>
        <v/>
      </c>
      <c r="DU46" s="13" t="str">
        <f t="shared" si="64"/>
        <v/>
      </c>
      <c r="DV46" s="13" t="str">
        <f t="shared" si="64"/>
        <v/>
      </c>
      <c r="DW46" s="13" t="str">
        <f t="shared" si="64"/>
        <v/>
      </c>
      <c r="DX46" s="13" t="str">
        <f t="shared" si="64"/>
        <v/>
      </c>
      <c r="DY46" s="13" t="str">
        <f t="shared" si="64"/>
        <v/>
      </c>
      <c r="DZ46" s="13" t="str">
        <f t="shared" si="64"/>
        <v/>
      </c>
      <c r="EA46" s="13" t="str">
        <f t="shared" si="64"/>
        <v/>
      </c>
      <c r="EB46" s="13" t="str">
        <f t="shared" si="64"/>
        <v/>
      </c>
      <c r="EC46" s="13" t="str">
        <f t="shared" si="64"/>
        <v/>
      </c>
      <c r="ED46" s="13" t="str">
        <f t="shared" si="64"/>
        <v/>
      </c>
      <c r="EE46" s="13" t="str">
        <f t="shared" si="64"/>
        <v/>
      </c>
      <c r="EF46" s="13" t="str">
        <f t="shared" si="64"/>
        <v/>
      </c>
      <c r="EG46" s="13" t="str">
        <f t="shared" si="64"/>
        <v/>
      </c>
      <c r="EH46" s="13" t="str">
        <f t="shared" si="64"/>
        <v/>
      </c>
      <c r="EI46" s="13" t="str">
        <f t="shared" si="64"/>
        <v/>
      </c>
      <c r="EJ46" s="13" t="str">
        <f t="shared" si="64"/>
        <v/>
      </c>
      <c r="EK46" s="13" t="str">
        <f t="shared" si="64"/>
        <v/>
      </c>
      <c r="EL46" s="13" t="str">
        <f t="shared" si="64"/>
        <v/>
      </c>
      <c r="EM46" s="13" t="str">
        <f t="shared" si="64"/>
        <v/>
      </c>
      <c r="EN46" s="13" t="str">
        <f t="shared" si="64"/>
        <v/>
      </c>
      <c r="EO46" s="13" t="str">
        <f t="shared" si="64"/>
        <v/>
      </c>
      <c r="EP46" s="13" t="str">
        <f t="shared" si="64"/>
        <v/>
      </c>
      <c r="EQ46" s="13" t="str">
        <f t="shared" si="64"/>
        <v/>
      </c>
      <c r="ER46" s="13" t="str">
        <f t="shared" si="64"/>
        <v/>
      </c>
      <c r="ES46" s="13" t="str">
        <f t="shared" si="64"/>
        <v/>
      </c>
      <c r="ET46" s="13" t="str">
        <f t="shared" si="64"/>
        <v/>
      </c>
      <c r="EU46" s="13" t="str">
        <f t="shared" si="64"/>
        <v/>
      </c>
      <c r="EV46" s="13" t="str">
        <f t="shared" si="64"/>
        <v/>
      </c>
      <c r="EW46" s="13" t="str">
        <f t="shared" si="64"/>
        <v/>
      </c>
      <c r="EX46" s="13" t="str">
        <f t="shared" si="64"/>
        <v/>
      </c>
      <c r="EY46" s="13" t="str">
        <f t="shared" si="64"/>
        <v/>
      </c>
      <c r="EZ46" s="13" t="str">
        <f t="shared" si="64"/>
        <v/>
      </c>
      <c r="FA46" s="13" t="str">
        <f t="shared" si="64"/>
        <v/>
      </c>
      <c r="FB46" s="13" t="str">
        <f t="shared" si="64"/>
        <v/>
      </c>
      <c r="FC46" s="13" t="str">
        <f t="shared" si="64"/>
        <v/>
      </c>
      <c r="FD46" s="13" t="str">
        <f t="shared" si="64"/>
        <v/>
      </c>
      <c r="FE46" s="13" t="str">
        <f t="shared" si="64"/>
        <v/>
      </c>
      <c r="FF46" s="13" t="str">
        <f t="shared" si="64"/>
        <v/>
      </c>
      <c r="FG46" s="13" t="str">
        <f t="shared" si="64"/>
        <v/>
      </c>
      <c r="FH46" s="13" t="str">
        <f t="shared" si="64"/>
        <v/>
      </c>
      <c r="FI46" s="13" t="str">
        <f t="shared" si="64"/>
        <v/>
      </c>
      <c r="FJ46" s="13" t="str">
        <f t="shared" si="64"/>
        <v/>
      </c>
      <c r="FK46" s="13" t="str">
        <f t="shared" si="64"/>
        <v/>
      </c>
      <c r="FL46" s="13" t="str">
        <f t="shared" si="64"/>
        <v/>
      </c>
      <c r="FM46" s="13" t="str">
        <f t="shared" si="64"/>
        <v/>
      </c>
      <c r="FN46" s="13" t="str">
        <f t="shared" si="64"/>
        <v/>
      </c>
      <c r="FO46" s="13" t="str">
        <f t="shared" si="64"/>
        <v/>
      </c>
      <c r="FP46" s="13" t="str">
        <f t="shared" si="64"/>
        <v/>
      </c>
      <c r="FQ46" s="13" t="str">
        <f t="shared" si="64"/>
        <v/>
      </c>
      <c r="FR46" s="13" t="str">
        <f t="shared" ref="FR46:IC46" si="68">IF(FR75&gt;0,TEXT(FR$50,"R"&amp;0)&amp;", ","")</f>
        <v/>
      </c>
      <c r="FS46" s="13" t="str">
        <f t="shared" si="68"/>
        <v/>
      </c>
      <c r="FT46" s="13" t="str">
        <f t="shared" si="68"/>
        <v/>
      </c>
      <c r="FU46" s="13" t="str">
        <f t="shared" si="68"/>
        <v/>
      </c>
      <c r="FV46" s="13" t="str">
        <f t="shared" si="68"/>
        <v/>
      </c>
      <c r="FW46" s="13" t="str">
        <f t="shared" si="68"/>
        <v/>
      </c>
      <c r="FX46" s="13" t="str">
        <f t="shared" si="68"/>
        <v/>
      </c>
      <c r="FY46" s="13" t="str">
        <f t="shared" si="68"/>
        <v/>
      </c>
      <c r="FZ46" s="13" t="str">
        <f t="shared" si="68"/>
        <v/>
      </c>
      <c r="GA46" s="13" t="str">
        <f t="shared" si="68"/>
        <v/>
      </c>
      <c r="GB46" s="13" t="str">
        <f t="shared" si="68"/>
        <v/>
      </c>
      <c r="GC46" s="13" t="str">
        <f t="shared" si="68"/>
        <v/>
      </c>
      <c r="GD46" s="13" t="str">
        <f t="shared" si="68"/>
        <v/>
      </c>
      <c r="GE46" s="13" t="str">
        <f t="shared" si="68"/>
        <v/>
      </c>
      <c r="GF46" s="13" t="str">
        <f t="shared" si="68"/>
        <v/>
      </c>
      <c r="GG46" s="13" t="str">
        <f t="shared" si="68"/>
        <v/>
      </c>
      <c r="GH46" s="13" t="str">
        <f t="shared" si="68"/>
        <v/>
      </c>
      <c r="GI46" s="13" t="str">
        <f t="shared" si="68"/>
        <v/>
      </c>
      <c r="GJ46" s="13" t="str">
        <f t="shared" si="68"/>
        <v/>
      </c>
      <c r="GK46" s="13" t="str">
        <f t="shared" si="68"/>
        <v/>
      </c>
      <c r="GL46" s="13" t="str">
        <f t="shared" si="68"/>
        <v/>
      </c>
      <c r="GM46" s="13" t="str">
        <f t="shared" si="68"/>
        <v/>
      </c>
      <c r="GN46" s="13" t="str">
        <f t="shared" si="68"/>
        <v/>
      </c>
      <c r="GO46" s="13" t="str">
        <f t="shared" si="68"/>
        <v/>
      </c>
      <c r="GP46" s="13" t="str">
        <f t="shared" si="68"/>
        <v/>
      </c>
      <c r="GQ46" s="13" t="str">
        <f t="shared" si="68"/>
        <v/>
      </c>
      <c r="GR46" s="13" t="str">
        <f t="shared" si="68"/>
        <v/>
      </c>
      <c r="GS46" s="13" t="str">
        <f t="shared" si="68"/>
        <v/>
      </c>
      <c r="GT46" s="13" t="str">
        <f t="shared" si="68"/>
        <v/>
      </c>
      <c r="GU46" s="13" t="str">
        <f t="shared" si="68"/>
        <v/>
      </c>
      <c r="GV46" s="13" t="str">
        <f t="shared" si="68"/>
        <v/>
      </c>
      <c r="GW46" s="13" t="str">
        <f t="shared" si="68"/>
        <v/>
      </c>
      <c r="GX46" s="13" t="str">
        <f t="shared" si="68"/>
        <v/>
      </c>
      <c r="GY46" s="13" t="str">
        <f t="shared" si="68"/>
        <v/>
      </c>
      <c r="GZ46" s="13" t="str">
        <f t="shared" si="68"/>
        <v/>
      </c>
      <c r="HA46" s="13" t="str">
        <f t="shared" si="68"/>
        <v/>
      </c>
      <c r="HB46" s="13" t="str">
        <f t="shared" si="68"/>
        <v/>
      </c>
      <c r="HC46" s="13" t="str">
        <f t="shared" si="68"/>
        <v/>
      </c>
      <c r="HD46" s="13" t="str">
        <f t="shared" si="68"/>
        <v/>
      </c>
      <c r="HE46" s="13" t="str">
        <f t="shared" si="68"/>
        <v/>
      </c>
      <c r="HF46" s="13" t="str">
        <f t="shared" si="68"/>
        <v/>
      </c>
      <c r="HG46" s="13" t="str">
        <f t="shared" si="68"/>
        <v/>
      </c>
      <c r="HH46" s="13" t="str">
        <f t="shared" si="68"/>
        <v/>
      </c>
      <c r="HI46" s="13" t="str">
        <f t="shared" si="68"/>
        <v/>
      </c>
      <c r="HJ46" s="13" t="str">
        <f t="shared" si="68"/>
        <v/>
      </c>
      <c r="HK46" s="13" t="str">
        <f t="shared" si="68"/>
        <v/>
      </c>
      <c r="HL46" s="13" t="str">
        <f t="shared" si="68"/>
        <v/>
      </c>
      <c r="HM46" s="13" t="str">
        <f t="shared" si="68"/>
        <v/>
      </c>
      <c r="HN46" s="13" t="str">
        <f t="shared" si="68"/>
        <v/>
      </c>
      <c r="HO46" s="13" t="str">
        <f t="shared" si="68"/>
        <v/>
      </c>
      <c r="HP46" s="13" t="str">
        <f t="shared" si="68"/>
        <v/>
      </c>
      <c r="HQ46" s="13" t="str">
        <f t="shared" si="68"/>
        <v/>
      </c>
      <c r="HR46" s="13" t="str">
        <f t="shared" si="68"/>
        <v/>
      </c>
      <c r="HS46" s="13" t="str">
        <f t="shared" si="68"/>
        <v/>
      </c>
      <c r="HT46" s="13" t="str">
        <f t="shared" si="68"/>
        <v/>
      </c>
      <c r="HU46" s="13" t="str">
        <f t="shared" si="68"/>
        <v/>
      </c>
      <c r="HV46" s="13" t="str">
        <f t="shared" si="68"/>
        <v/>
      </c>
      <c r="HW46" s="13" t="str">
        <f t="shared" si="68"/>
        <v/>
      </c>
      <c r="HX46" s="13" t="str">
        <f t="shared" si="68"/>
        <v/>
      </c>
      <c r="HY46" s="13" t="str">
        <f t="shared" si="68"/>
        <v/>
      </c>
      <c r="HZ46" s="13" t="str">
        <f t="shared" si="68"/>
        <v/>
      </c>
      <c r="IA46" s="13" t="str">
        <f t="shared" si="68"/>
        <v/>
      </c>
      <c r="IB46" s="13" t="str">
        <f t="shared" si="68"/>
        <v/>
      </c>
      <c r="IC46" s="13" t="str">
        <f t="shared" si="68"/>
        <v/>
      </c>
      <c r="ID46" s="13" t="str">
        <f t="shared" si="67"/>
        <v/>
      </c>
      <c r="IE46" s="13" t="str">
        <f t="shared" si="67"/>
        <v/>
      </c>
      <c r="IF46" s="13" t="str">
        <f t="shared" si="67"/>
        <v/>
      </c>
      <c r="IG46" s="13" t="str">
        <f t="shared" si="67"/>
        <v/>
      </c>
      <c r="IH46" s="13" t="str">
        <f t="shared" si="67"/>
        <v/>
      </c>
      <c r="II46" s="13" t="str">
        <f t="shared" si="67"/>
        <v/>
      </c>
      <c r="IJ46" s="13" t="str">
        <f t="shared" si="67"/>
        <v/>
      </c>
      <c r="IK46" s="13" t="str">
        <f t="shared" si="67"/>
        <v/>
      </c>
      <c r="IL46" s="13" t="str">
        <f t="shared" si="67"/>
        <v/>
      </c>
      <c r="IM46" s="13" t="str">
        <f t="shared" si="67"/>
        <v/>
      </c>
      <c r="IN46" s="13" t="str">
        <f t="shared" si="67"/>
        <v/>
      </c>
      <c r="IO46" s="13" t="str">
        <f t="shared" si="67"/>
        <v/>
      </c>
      <c r="IP46" s="13" t="str">
        <f t="shared" si="67"/>
        <v/>
      </c>
      <c r="IQ46" s="13" t="str">
        <f t="shared" si="67"/>
        <v/>
      </c>
      <c r="IR46" s="13" t="str">
        <f t="shared" si="67"/>
        <v/>
      </c>
      <c r="IS46" s="13" t="str">
        <f t="shared" si="67"/>
        <v/>
      </c>
      <c r="IT46" s="13" t="str">
        <f t="shared" si="67"/>
        <v/>
      </c>
      <c r="IU46" s="13" t="str">
        <f t="shared" si="67"/>
        <v/>
      </c>
      <c r="IV46" s="13" t="str">
        <f t="shared" si="67"/>
        <v/>
      </c>
      <c r="IW46" s="13" t="str">
        <f t="shared" si="67"/>
        <v/>
      </c>
      <c r="IX46" s="13" t="str">
        <f t="shared" si="67"/>
        <v/>
      </c>
      <c r="IY46" s="13" t="str">
        <f t="shared" si="67"/>
        <v/>
      </c>
      <c r="IZ46" s="13" t="str">
        <f t="shared" si="67"/>
        <v/>
      </c>
      <c r="JA46" s="13" t="str">
        <f t="shared" si="67"/>
        <v/>
      </c>
      <c r="JB46" s="13" t="str">
        <f t="shared" si="67"/>
        <v/>
      </c>
      <c r="JC46" s="13" t="str">
        <f t="shared" si="67"/>
        <v/>
      </c>
      <c r="JD46" s="13" t="str">
        <f t="shared" si="67"/>
        <v/>
      </c>
      <c r="JE46" s="13" t="str">
        <f t="shared" si="67"/>
        <v/>
      </c>
      <c r="JF46" s="13" t="str">
        <f t="shared" si="67"/>
        <v/>
      </c>
      <c r="JG46" s="13" t="str">
        <f t="shared" si="67"/>
        <v/>
      </c>
      <c r="JH46" s="13" t="str">
        <f t="shared" si="67"/>
        <v/>
      </c>
      <c r="JI46" s="13" t="str">
        <f t="shared" si="67"/>
        <v/>
      </c>
      <c r="JJ46" s="13" t="str">
        <f t="shared" si="67"/>
        <v/>
      </c>
      <c r="JK46" s="13" t="str">
        <f t="shared" si="67"/>
        <v/>
      </c>
      <c r="JL46" s="13" t="str">
        <f t="shared" si="67"/>
        <v/>
      </c>
      <c r="JM46" s="13" t="str">
        <f t="shared" si="67"/>
        <v/>
      </c>
      <c r="JN46" s="13" t="str">
        <f t="shared" si="67"/>
        <v/>
      </c>
      <c r="JO46" s="13" t="str">
        <f t="shared" si="67"/>
        <v/>
      </c>
      <c r="JP46" s="13" t="str">
        <f t="shared" si="67"/>
        <v/>
      </c>
      <c r="JQ46" s="13" t="str">
        <f t="shared" si="67"/>
        <v/>
      </c>
      <c r="JR46" s="13" t="str">
        <f t="shared" si="67"/>
        <v/>
      </c>
      <c r="JS46" s="13" t="str">
        <f t="shared" si="67"/>
        <v/>
      </c>
      <c r="JT46" s="13" t="str">
        <f t="shared" si="67"/>
        <v/>
      </c>
      <c r="JU46" s="13" t="str">
        <f t="shared" si="67"/>
        <v/>
      </c>
      <c r="JV46" s="13" t="str">
        <f t="shared" si="67"/>
        <v/>
      </c>
      <c r="JW46" s="13" t="str">
        <f t="shared" si="67"/>
        <v/>
      </c>
      <c r="JX46" s="13" t="str">
        <f t="shared" si="67"/>
        <v/>
      </c>
      <c r="JY46" s="13" t="str">
        <f t="shared" si="67"/>
        <v/>
      </c>
      <c r="JZ46" s="13" t="str">
        <f t="shared" si="67"/>
        <v/>
      </c>
      <c r="KA46" s="13" t="str">
        <f t="shared" si="67"/>
        <v/>
      </c>
      <c r="KB46" s="13" t="str">
        <f t="shared" si="67"/>
        <v/>
      </c>
      <c r="KC46" s="13" t="str">
        <f t="shared" si="67"/>
        <v/>
      </c>
      <c r="KD46" s="13" t="str">
        <f t="shared" si="67"/>
        <v/>
      </c>
      <c r="KE46" s="13" t="str">
        <f t="shared" si="67"/>
        <v/>
      </c>
      <c r="KF46" s="13" t="str">
        <f t="shared" si="67"/>
        <v/>
      </c>
      <c r="KG46" s="13" t="str">
        <f t="shared" si="67"/>
        <v/>
      </c>
      <c r="KH46" s="13" t="str">
        <f t="shared" si="67"/>
        <v/>
      </c>
      <c r="KI46" s="13" t="str">
        <f t="shared" si="67"/>
        <v/>
      </c>
      <c r="KJ46" s="13" t="str">
        <f t="shared" si="67"/>
        <v/>
      </c>
      <c r="KK46" s="13" t="str">
        <f t="shared" si="67"/>
        <v/>
      </c>
      <c r="KL46" s="13" t="str">
        <f t="shared" si="67"/>
        <v/>
      </c>
      <c r="KM46" s="13" t="str">
        <f t="shared" si="67"/>
        <v/>
      </c>
      <c r="KN46" s="13" t="str">
        <f t="shared" si="67"/>
        <v/>
      </c>
      <c r="KO46" s="13" t="str">
        <f t="shared" si="66"/>
        <v/>
      </c>
      <c r="KP46" s="13" t="str">
        <f t="shared" si="66"/>
        <v/>
      </c>
      <c r="KQ46" s="13" t="str">
        <f t="shared" si="66"/>
        <v/>
      </c>
      <c r="KR46" s="13" t="str">
        <f t="shared" si="66"/>
        <v/>
      </c>
      <c r="KS46" s="13" t="str">
        <f t="shared" si="66"/>
        <v/>
      </c>
      <c r="KT46" s="13" t="str">
        <f t="shared" si="66"/>
        <v/>
      </c>
      <c r="KU46" s="13" t="str">
        <f t="shared" si="66"/>
        <v/>
      </c>
      <c r="KV46" s="13" t="str">
        <f t="shared" si="66"/>
        <v/>
      </c>
      <c r="KW46" s="13" t="str">
        <f t="shared" si="66"/>
        <v/>
      </c>
      <c r="KX46" s="13" t="str">
        <f t="shared" si="66"/>
        <v/>
      </c>
      <c r="KY46" s="13" t="str">
        <f t="shared" si="66"/>
        <v/>
      </c>
      <c r="KZ46" s="13" t="str">
        <f t="shared" si="66"/>
        <v/>
      </c>
      <c r="LA46" s="13" t="str">
        <f t="shared" si="66"/>
        <v/>
      </c>
      <c r="LB46" s="13" t="str">
        <f t="shared" si="66"/>
        <v/>
      </c>
      <c r="LC46" s="13" t="str">
        <f t="shared" si="66"/>
        <v/>
      </c>
      <c r="LD46" s="13" t="str">
        <f t="shared" si="66"/>
        <v/>
      </c>
      <c r="LE46" s="13" t="str">
        <f t="shared" si="66"/>
        <v/>
      </c>
      <c r="LF46" s="13" t="str">
        <f t="shared" si="66"/>
        <v/>
      </c>
      <c r="LG46" s="13" t="str">
        <f t="shared" si="66"/>
        <v/>
      </c>
      <c r="LH46" s="13" t="str">
        <f t="shared" si="66"/>
        <v/>
      </c>
      <c r="LI46" s="13" t="str">
        <f t="shared" si="66"/>
        <v/>
      </c>
      <c r="LJ46" s="13" t="str">
        <f t="shared" si="66"/>
        <v/>
      </c>
      <c r="LK46" s="13" t="str">
        <f t="shared" si="66"/>
        <v/>
      </c>
      <c r="LL46" s="13" t="str">
        <f t="shared" si="66"/>
        <v/>
      </c>
      <c r="LM46" s="13" t="str">
        <f t="shared" si="66"/>
        <v/>
      </c>
      <c r="LN46" s="13" t="str">
        <f t="shared" si="66"/>
        <v/>
      </c>
      <c r="LO46" s="13" t="str">
        <f t="shared" si="66"/>
        <v/>
      </c>
      <c r="LP46" s="13" t="str">
        <f t="shared" si="66"/>
        <v/>
      </c>
      <c r="LQ46" s="13" t="str">
        <f t="shared" si="66"/>
        <v/>
      </c>
      <c r="LR46" s="13" t="str">
        <f t="shared" si="66"/>
        <v/>
      </c>
      <c r="LS46" s="13" t="str">
        <f t="shared" si="66"/>
        <v/>
      </c>
      <c r="LT46" s="13" t="str">
        <f t="shared" si="66"/>
        <v/>
      </c>
      <c r="LU46" s="13" t="str">
        <f t="shared" si="66"/>
        <v/>
      </c>
      <c r="LV46" s="13" t="str">
        <f t="shared" si="66"/>
        <v/>
      </c>
      <c r="LW46" s="13" t="str">
        <f t="shared" si="66"/>
        <v/>
      </c>
      <c r="LX46" s="13" t="str">
        <f t="shared" si="66"/>
        <v/>
      </c>
      <c r="LY46" s="13" t="str">
        <f t="shared" si="66"/>
        <v/>
      </c>
      <c r="LZ46" s="13" t="str">
        <f t="shared" si="66"/>
        <v/>
      </c>
      <c r="MA46" s="13" t="str">
        <f t="shared" si="66"/>
        <v/>
      </c>
      <c r="MB46" s="13" t="str">
        <f t="shared" si="66"/>
        <v/>
      </c>
      <c r="MC46" s="13" t="str">
        <f t="shared" si="66"/>
        <v/>
      </c>
      <c r="MD46" s="13" t="str">
        <f t="shared" si="66"/>
        <v/>
      </c>
      <c r="ME46" s="13" t="str">
        <f t="shared" si="66"/>
        <v/>
      </c>
      <c r="MF46" s="13" t="str">
        <f t="shared" si="66"/>
        <v/>
      </c>
      <c r="MG46" s="13" t="str">
        <f t="shared" si="66"/>
        <v/>
      </c>
    </row>
    <row r="47" spans="1:345" x14ac:dyDescent="0.2">
      <c r="A47" s="32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</row>
    <row r="48" spans="1:345" x14ac:dyDescent="0.2">
      <c r="A48" s="32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Z48" s="63" t="s">
        <v>51</v>
      </c>
      <c r="AA48" s="64"/>
      <c r="AB48" s="64"/>
      <c r="AC48" s="65"/>
    </row>
    <row r="49" spans="1:446" x14ac:dyDescent="0.2">
      <c r="A49" s="32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W49" s="15"/>
      <c r="Z49" s="56" t="s">
        <v>3</v>
      </c>
      <c r="AA49" s="57"/>
      <c r="AB49" s="56" t="s">
        <v>18</v>
      </c>
      <c r="AC49" s="57"/>
      <c r="AR49" s="124" t="s">
        <v>37</v>
      </c>
      <c r="AS49" s="125"/>
      <c r="AT49" s="124" t="s">
        <v>5</v>
      </c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/>
      <c r="BK49" s="125"/>
      <c r="BL49" s="125"/>
      <c r="BM49" s="125"/>
      <c r="BN49" s="125"/>
      <c r="BO49" s="125"/>
      <c r="BP49" s="125"/>
      <c r="BQ49" s="125"/>
      <c r="BR49" s="125"/>
      <c r="BS49" s="125"/>
      <c r="BT49" s="125"/>
      <c r="BU49" s="125"/>
      <c r="BV49" s="125"/>
      <c r="BW49" s="125"/>
      <c r="BX49" s="125"/>
      <c r="BY49" s="125"/>
      <c r="BZ49" s="125"/>
      <c r="CA49" s="125"/>
      <c r="CB49" s="125"/>
      <c r="CC49" s="125"/>
      <c r="CD49" s="125"/>
      <c r="CE49" s="125"/>
      <c r="CF49" s="125"/>
      <c r="CG49" s="125"/>
      <c r="CH49" s="125"/>
      <c r="CI49" s="125"/>
      <c r="CJ49" s="125"/>
      <c r="CK49" s="125"/>
      <c r="CL49" s="125"/>
      <c r="CM49" s="125"/>
      <c r="CN49" s="125"/>
      <c r="CO49" s="125"/>
      <c r="CP49" s="125"/>
      <c r="CQ49" s="125"/>
      <c r="CR49" s="125"/>
      <c r="CS49" s="125"/>
      <c r="CT49" s="125"/>
      <c r="CU49" s="125"/>
      <c r="CV49" s="125"/>
      <c r="CW49" s="125"/>
      <c r="CX49" s="125"/>
      <c r="CY49" s="125"/>
      <c r="CZ49" s="125"/>
      <c r="DA49" s="125"/>
      <c r="DB49" s="125"/>
      <c r="DC49" s="125"/>
      <c r="DD49" s="125"/>
      <c r="DE49" s="125"/>
      <c r="DF49" s="125"/>
      <c r="DG49" s="125"/>
      <c r="DH49" s="125"/>
      <c r="DI49" s="125"/>
      <c r="DJ49" s="125"/>
      <c r="DK49" s="125"/>
      <c r="DL49" s="125"/>
      <c r="DM49" s="125"/>
      <c r="DN49" s="125"/>
      <c r="DO49" s="125"/>
      <c r="DP49" s="125"/>
      <c r="DQ49" s="125"/>
      <c r="DR49" s="125"/>
      <c r="DS49" s="125"/>
      <c r="DT49" s="125"/>
      <c r="DU49" s="125"/>
      <c r="DV49" s="125"/>
      <c r="DW49" s="125"/>
      <c r="DX49" s="125"/>
      <c r="DY49" s="125"/>
      <c r="DZ49" s="125"/>
      <c r="EA49" s="125"/>
      <c r="EB49" s="125"/>
      <c r="EC49" s="125"/>
      <c r="ED49" s="125"/>
      <c r="EE49" s="125"/>
      <c r="EF49" s="125"/>
      <c r="EG49" s="125"/>
      <c r="EH49" s="125"/>
      <c r="EI49" s="125"/>
      <c r="EJ49" s="125"/>
      <c r="EK49" s="125"/>
      <c r="EL49" s="125"/>
      <c r="EM49" s="125"/>
      <c r="EN49" s="125"/>
      <c r="EO49" s="125"/>
      <c r="EP49" s="125"/>
      <c r="EQ49" s="125"/>
      <c r="ER49" s="125"/>
      <c r="ES49" s="125"/>
      <c r="ET49" s="125"/>
      <c r="EU49" s="125"/>
      <c r="EV49" s="125"/>
      <c r="EW49" s="125"/>
      <c r="EX49" s="125"/>
      <c r="EY49" s="125"/>
      <c r="EZ49" s="125"/>
      <c r="FA49" s="125"/>
      <c r="FB49" s="125"/>
      <c r="FC49" s="125"/>
      <c r="FD49" s="125"/>
      <c r="FE49" s="125"/>
      <c r="FF49" s="125"/>
      <c r="FG49" s="125"/>
      <c r="FH49" s="125"/>
      <c r="FI49" s="125"/>
      <c r="FJ49" s="125"/>
      <c r="FK49" s="125"/>
      <c r="FL49" s="125"/>
      <c r="FM49" s="125"/>
      <c r="FN49" s="125"/>
      <c r="FO49" s="125"/>
      <c r="FP49" s="125"/>
      <c r="FQ49" s="125"/>
      <c r="FR49" s="125"/>
      <c r="FS49" s="125"/>
      <c r="FT49" s="125"/>
      <c r="FU49" s="125"/>
      <c r="FV49" s="125"/>
      <c r="FW49" s="125"/>
      <c r="FX49" s="125"/>
      <c r="FY49" s="125"/>
      <c r="FZ49" s="125"/>
      <c r="GA49" s="125"/>
      <c r="GB49" s="125"/>
      <c r="GC49" s="125"/>
      <c r="GD49" s="125"/>
      <c r="GE49" s="125"/>
      <c r="GF49" s="125"/>
      <c r="GG49" s="125"/>
      <c r="GH49" s="125"/>
      <c r="GI49" s="125"/>
      <c r="GJ49" s="125"/>
      <c r="GK49" s="125"/>
      <c r="GL49" s="125"/>
      <c r="GM49" s="125"/>
      <c r="GN49" s="125"/>
      <c r="GO49" s="125"/>
      <c r="GP49" s="125"/>
      <c r="GQ49" s="125"/>
      <c r="GR49" s="125"/>
      <c r="GS49" s="125"/>
      <c r="GT49" s="125"/>
      <c r="GU49" s="125"/>
      <c r="GV49" s="125"/>
      <c r="GW49" s="125"/>
      <c r="GX49" s="125"/>
      <c r="GY49" s="125"/>
      <c r="GZ49" s="125"/>
      <c r="HA49" s="125"/>
      <c r="HB49" s="125"/>
      <c r="HC49" s="125"/>
      <c r="HD49" s="125"/>
      <c r="HE49" s="125"/>
      <c r="HF49" s="125"/>
      <c r="HG49" s="125"/>
      <c r="HH49" s="125"/>
      <c r="HI49" s="125"/>
      <c r="HJ49" s="125"/>
      <c r="HK49" s="125"/>
      <c r="HL49" s="125"/>
      <c r="HM49" s="125"/>
      <c r="HN49" s="125"/>
      <c r="HO49" s="125"/>
      <c r="HP49" s="125"/>
      <c r="HQ49" s="125"/>
      <c r="HR49" s="125"/>
      <c r="HS49" s="125"/>
      <c r="HT49" s="125"/>
      <c r="HU49" s="125"/>
      <c r="HV49" s="125"/>
      <c r="HW49" s="125"/>
      <c r="HX49" s="125"/>
      <c r="HY49" s="125"/>
      <c r="HZ49" s="125"/>
      <c r="IA49" s="125"/>
      <c r="IB49" s="125"/>
      <c r="IC49" s="125"/>
      <c r="ID49" s="125"/>
      <c r="IE49" s="125"/>
      <c r="IF49" s="125"/>
      <c r="IG49" s="125"/>
      <c r="IH49" s="125"/>
      <c r="II49" s="125"/>
      <c r="IJ49" s="125"/>
      <c r="IK49" s="125"/>
      <c r="IL49" s="125"/>
      <c r="IM49" s="125"/>
      <c r="IN49" s="125"/>
      <c r="IO49" s="125"/>
      <c r="IP49" s="125"/>
      <c r="IQ49" s="125"/>
      <c r="IR49" s="125"/>
      <c r="IS49" s="125"/>
      <c r="IT49" s="125"/>
      <c r="IU49" s="125"/>
      <c r="IV49" s="125"/>
      <c r="IW49" s="125"/>
      <c r="IX49" s="125"/>
      <c r="IY49" s="125"/>
      <c r="IZ49" s="125"/>
      <c r="JA49" s="125"/>
      <c r="JB49" s="125"/>
      <c r="JC49" s="125"/>
      <c r="JD49" s="125"/>
      <c r="JE49" s="125"/>
      <c r="JF49" s="125"/>
      <c r="JG49" s="125"/>
      <c r="JH49" s="125"/>
      <c r="JI49" s="125"/>
      <c r="JJ49" s="125"/>
      <c r="JK49" s="125"/>
      <c r="JL49" s="125"/>
      <c r="JM49" s="125"/>
      <c r="JN49" s="125"/>
      <c r="JO49" s="125"/>
      <c r="JP49" s="125"/>
      <c r="JQ49" s="125"/>
      <c r="JR49" s="125"/>
      <c r="JS49" s="125"/>
      <c r="JT49" s="125"/>
      <c r="JU49" s="125"/>
      <c r="JV49" s="125"/>
      <c r="JW49" s="125"/>
      <c r="JX49" s="125"/>
      <c r="JY49" s="125"/>
      <c r="JZ49" s="125"/>
      <c r="KA49" s="125"/>
      <c r="KB49" s="125"/>
      <c r="KC49" s="125"/>
      <c r="KD49" s="125"/>
      <c r="KE49" s="125"/>
      <c r="KF49" s="125"/>
      <c r="KG49" s="125"/>
      <c r="KH49" s="125"/>
      <c r="KI49" s="125"/>
      <c r="KJ49" s="125"/>
      <c r="KK49" s="125"/>
      <c r="KL49" s="125"/>
      <c r="KM49" s="125"/>
      <c r="KN49" s="125"/>
      <c r="KO49" s="125"/>
      <c r="KP49" s="125"/>
      <c r="KQ49" s="125"/>
      <c r="KR49" s="125"/>
      <c r="KS49" s="125"/>
      <c r="KT49" s="125"/>
      <c r="KU49" s="125"/>
      <c r="KV49" s="125"/>
      <c r="KW49" s="125"/>
      <c r="KX49" s="125"/>
      <c r="KY49" s="125"/>
      <c r="KZ49" s="125"/>
      <c r="LA49" s="125"/>
      <c r="LB49" s="125"/>
      <c r="LC49" s="125"/>
      <c r="LD49" s="125"/>
      <c r="LE49" s="125"/>
      <c r="LF49" s="125"/>
      <c r="LG49" s="125"/>
      <c r="LH49" s="125"/>
      <c r="LI49" s="125"/>
      <c r="LJ49" s="125"/>
      <c r="LK49" s="125"/>
      <c r="LL49" s="125"/>
      <c r="LM49" s="125"/>
      <c r="LN49" s="125"/>
      <c r="LO49" s="125"/>
      <c r="LP49" s="125"/>
      <c r="LQ49" s="125"/>
      <c r="LR49" s="125"/>
      <c r="LS49" s="125"/>
      <c r="LT49" s="125"/>
      <c r="LU49" s="125"/>
      <c r="LV49" s="125"/>
      <c r="LW49" s="125"/>
      <c r="LX49" s="125"/>
      <c r="LY49" s="125"/>
      <c r="LZ49" s="125"/>
      <c r="MA49" s="125"/>
      <c r="MB49" s="125"/>
      <c r="MC49" s="125"/>
      <c r="MD49" s="125"/>
      <c r="ME49" s="125"/>
      <c r="MF49" s="125"/>
      <c r="MG49" s="125"/>
      <c r="MH49" s="125"/>
      <c r="MI49" s="125"/>
      <c r="MJ49" s="125"/>
      <c r="MK49" s="125"/>
      <c r="ML49" s="125"/>
      <c r="MM49" s="125"/>
      <c r="MN49" s="125"/>
      <c r="MO49" s="125"/>
      <c r="MP49" s="125"/>
      <c r="MQ49" s="125"/>
      <c r="MR49" s="125"/>
      <c r="MS49" s="125"/>
      <c r="MT49" s="125"/>
      <c r="MU49" s="125"/>
      <c r="MV49" s="125"/>
      <c r="MW49" s="125"/>
      <c r="MX49" s="125"/>
      <c r="MY49" s="125"/>
      <c r="MZ49" s="125"/>
      <c r="NA49" s="125"/>
      <c r="NB49" s="125"/>
      <c r="NC49" s="125"/>
      <c r="ND49" s="125"/>
      <c r="NE49" s="125"/>
      <c r="NF49" s="125"/>
      <c r="NG49" s="125"/>
      <c r="NH49" s="125"/>
      <c r="NI49" s="125"/>
      <c r="NJ49" s="125"/>
      <c r="NK49" s="125"/>
      <c r="NL49" s="125"/>
      <c r="NM49" s="125"/>
      <c r="NN49" s="125"/>
      <c r="NO49" s="125"/>
      <c r="NP49" s="125"/>
      <c r="NQ49" s="125"/>
      <c r="NR49" s="125"/>
      <c r="NS49" s="125"/>
      <c r="NT49" s="125"/>
      <c r="NU49" s="125"/>
      <c r="NV49" s="125"/>
      <c r="NW49" s="125"/>
      <c r="NX49" s="125"/>
      <c r="NY49" s="125"/>
      <c r="NZ49" s="125"/>
      <c r="OA49" s="125"/>
      <c r="OB49" s="125"/>
      <c r="OC49" s="125"/>
      <c r="OD49" s="125"/>
      <c r="OE49" s="125"/>
      <c r="OF49" s="125"/>
      <c r="OG49" s="125"/>
      <c r="OH49" s="125"/>
      <c r="OI49" s="125"/>
      <c r="OJ49" s="125"/>
      <c r="OK49" s="125"/>
      <c r="OL49" s="125"/>
      <c r="OM49" s="125"/>
      <c r="ON49" s="125"/>
      <c r="OO49" s="125"/>
      <c r="OP49" s="125"/>
      <c r="OQ49" s="125"/>
      <c r="OR49" s="125"/>
      <c r="OS49" s="125"/>
      <c r="OT49" s="125"/>
      <c r="OU49" s="125"/>
      <c r="OV49" s="125"/>
      <c r="OW49" s="125"/>
      <c r="OX49" s="125"/>
      <c r="OY49" s="125"/>
      <c r="OZ49" s="125"/>
      <c r="PA49" s="125"/>
      <c r="PB49" s="125"/>
      <c r="PC49" s="125"/>
      <c r="PD49" s="125"/>
      <c r="PE49" s="125"/>
      <c r="PF49" s="125"/>
      <c r="PG49" s="125"/>
      <c r="PH49" s="125"/>
      <c r="PI49" s="125"/>
      <c r="PJ49" s="125"/>
      <c r="PK49" s="125"/>
      <c r="PL49" s="125"/>
      <c r="PM49" s="125"/>
      <c r="PN49" s="125"/>
      <c r="PO49" s="125"/>
      <c r="PP49" s="125"/>
      <c r="PQ49" s="125"/>
      <c r="PR49" s="125"/>
      <c r="PS49" s="125"/>
      <c r="PT49" s="125"/>
      <c r="PU49" s="125"/>
      <c r="PV49" s="125"/>
      <c r="PW49" s="125"/>
      <c r="PX49" s="125"/>
      <c r="PY49" s="125"/>
      <c r="PZ49" s="125"/>
      <c r="QA49" s="125"/>
      <c r="QB49" s="125"/>
      <c r="QC49" s="125"/>
      <c r="QD49" s="126"/>
    </row>
    <row r="50" spans="1:446" x14ac:dyDescent="0.2">
      <c r="A50" s="32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W50" s="15"/>
      <c r="Z50" s="58" t="s">
        <v>50</v>
      </c>
      <c r="AA50" s="59" t="s">
        <v>49</v>
      </c>
      <c r="AB50" s="58" t="s">
        <v>50</v>
      </c>
      <c r="AC50" s="59" t="s">
        <v>49</v>
      </c>
      <c r="AP50" s="23"/>
      <c r="AR50" s="124" t="s">
        <v>3</v>
      </c>
      <c r="AS50" s="124" t="s">
        <v>1</v>
      </c>
      <c r="AT50" s="127">
        <v>1</v>
      </c>
      <c r="AU50" s="128">
        <v>2</v>
      </c>
      <c r="AV50" s="128">
        <v>3</v>
      </c>
      <c r="AW50" s="128">
        <v>4</v>
      </c>
      <c r="AX50" s="128">
        <v>5</v>
      </c>
      <c r="AY50" s="128">
        <v>6</v>
      </c>
      <c r="AZ50" s="128">
        <v>7</v>
      </c>
      <c r="BA50" s="128">
        <v>8</v>
      </c>
      <c r="BB50" s="128">
        <v>9</v>
      </c>
      <c r="BC50" s="128">
        <v>10</v>
      </c>
      <c r="BD50" s="128">
        <v>11</v>
      </c>
      <c r="BE50" s="128">
        <v>12</v>
      </c>
      <c r="BF50" s="128">
        <v>13</v>
      </c>
      <c r="BG50" s="128">
        <v>14</v>
      </c>
      <c r="BH50" s="128">
        <v>15</v>
      </c>
      <c r="BI50" s="128">
        <v>16</v>
      </c>
      <c r="BJ50" s="128">
        <v>17</v>
      </c>
      <c r="BK50" s="128">
        <v>18</v>
      </c>
      <c r="BL50" s="128">
        <v>19</v>
      </c>
      <c r="BM50" s="128">
        <v>20</v>
      </c>
      <c r="BN50" s="128">
        <v>21</v>
      </c>
      <c r="BO50" s="128">
        <v>22</v>
      </c>
      <c r="BP50" s="128">
        <v>23</v>
      </c>
      <c r="BQ50" s="128">
        <v>24</v>
      </c>
      <c r="BR50" s="128">
        <v>25</v>
      </c>
      <c r="BS50" s="128">
        <v>26</v>
      </c>
      <c r="BT50" s="128">
        <v>27</v>
      </c>
      <c r="BU50" s="128">
        <v>28</v>
      </c>
      <c r="BV50" s="128">
        <v>29</v>
      </c>
      <c r="BW50" s="128">
        <v>30</v>
      </c>
      <c r="BX50" s="128">
        <v>31</v>
      </c>
      <c r="BY50" s="128">
        <v>32</v>
      </c>
      <c r="BZ50" s="128">
        <v>33</v>
      </c>
      <c r="CA50" s="128">
        <v>34</v>
      </c>
      <c r="CB50" s="128">
        <v>35</v>
      </c>
      <c r="CC50" s="128">
        <v>36</v>
      </c>
      <c r="CD50" s="128">
        <v>37</v>
      </c>
      <c r="CE50" s="128">
        <v>38</v>
      </c>
      <c r="CF50" s="128">
        <v>39</v>
      </c>
      <c r="CG50" s="128">
        <v>40</v>
      </c>
      <c r="CH50" s="128">
        <v>41</v>
      </c>
      <c r="CI50" s="128">
        <v>42</v>
      </c>
      <c r="CJ50" s="128">
        <v>43</v>
      </c>
      <c r="CK50" s="128">
        <v>44</v>
      </c>
      <c r="CL50" s="128">
        <v>45</v>
      </c>
      <c r="CM50" s="128">
        <v>46</v>
      </c>
      <c r="CN50" s="128">
        <v>47</v>
      </c>
      <c r="CO50" s="128">
        <v>48</v>
      </c>
      <c r="CP50" s="128">
        <v>49</v>
      </c>
      <c r="CQ50" s="128">
        <v>50</v>
      </c>
      <c r="CR50" s="128">
        <v>51</v>
      </c>
      <c r="CS50" s="128">
        <v>52</v>
      </c>
      <c r="CT50" s="128">
        <v>53</v>
      </c>
      <c r="CU50" s="128">
        <v>54</v>
      </c>
      <c r="CV50" s="128">
        <v>55</v>
      </c>
      <c r="CW50" s="128">
        <v>56</v>
      </c>
      <c r="CX50" s="128">
        <v>57</v>
      </c>
      <c r="CY50" s="128">
        <v>58</v>
      </c>
      <c r="CZ50" s="128">
        <v>59</v>
      </c>
      <c r="DA50" s="128">
        <v>60</v>
      </c>
      <c r="DB50" s="128">
        <v>61</v>
      </c>
      <c r="DC50" s="128">
        <v>62</v>
      </c>
      <c r="DD50" s="128">
        <v>63</v>
      </c>
      <c r="DE50" s="128">
        <v>64</v>
      </c>
      <c r="DF50" s="128">
        <v>65</v>
      </c>
      <c r="DG50" s="128">
        <v>66</v>
      </c>
      <c r="DH50" s="128">
        <v>67</v>
      </c>
      <c r="DI50" s="128">
        <v>68</v>
      </c>
      <c r="DJ50" s="128">
        <v>69</v>
      </c>
      <c r="DK50" s="128">
        <v>70</v>
      </c>
      <c r="DL50" s="128">
        <v>71</v>
      </c>
      <c r="DM50" s="128">
        <v>72</v>
      </c>
      <c r="DN50" s="128">
        <v>73</v>
      </c>
      <c r="DO50" s="128">
        <v>74</v>
      </c>
      <c r="DP50" s="128">
        <v>75</v>
      </c>
      <c r="DQ50" s="128">
        <v>76</v>
      </c>
      <c r="DR50" s="128">
        <v>77</v>
      </c>
      <c r="DS50" s="128">
        <v>78</v>
      </c>
      <c r="DT50" s="128">
        <v>79</v>
      </c>
      <c r="DU50" s="128">
        <v>80</v>
      </c>
      <c r="DV50" s="128">
        <v>81</v>
      </c>
      <c r="DW50" s="128">
        <v>82</v>
      </c>
      <c r="DX50" s="128">
        <v>83</v>
      </c>
      <c r="DY50" s="128">
        <v>84</v>
      </c>
      <c r="DZ50" s="128">
        <v>85</v>
      </c>
      <c r="EA50" s="128">
        <v>86</v>
      </c>
      <c r="EB50" s="128">
        <v>87</v>
      </c>
      <c r="EC50" s="128">
        <v>88</v>
      </c>
      <c r="ED50" s="128">
        <v>89</v>
      </c>
      <c r="EE50" s="128">
        <v>90</v>
      </c>
      <c r="EF50" s="128">
        <v>91</v>
      </c>
      <c r="EG50" s="128">
        <v>92</v>
      </c>
      <c r="EH50" s="128">
        <v>93</v>
      </c>
      <c r="EI50" s="128">
        <v>94</v>
      </c>
      <c r="EJ50" s="128">
        <v>95</v>
      </c>
      <c r="EK50" s="128">
        <v>96</v>
      </c>
      <c r="EL50" s="128">
        <v>97</v>
      </c>
      <c r="EM50" s="128">
        <v>98</v>
      </c>
      <c r="EN50" s="128">
        <v>99</v>
      </c>
      <c r="EO50" s="128">
        <v>100</v>
      </c>
      <c r="EP50" s="128">
        <v>101</v>
      </c>
      <c r="EQ50" s="128">
        <v>102</v>
      </c>
      <c r="ER50" s="128">
        <v>103</v>
      </c>
      <c r="ES50" s="128">
        <v>104</v>
      </c>
      <c r="ET50" s="128">
        <v>105</v>
      </c>
      <c r="EU50" s="128">
        <v>106</v>
      </c>
      <c r="EV50" s="128">
        <v>107</v>
      </c>
      <c r="EW50" s="128">
        <v>108</v>
      </c>
      <c r="EX50" s="128">
        <v>109</v>
      </c>
      <c r="EY50" s="128">
        <v>110</v>
      </c>
      <c r="EZ50" s="128">
        <v>111</v>
      </c>
      <c r="FA50" s="128">
        <v>112</v>
      </c>
      <c r="FB50" s="128">
        <v>113</v>
      </c>
      <c r="FC50" s="128">
        <v>114</v>
      </c>
      <c r="FD50" s="128">
        <v>115</v>
      </c>
      <c r="FE50" s="128">
        <v>116</v>
      </c>
      <c r="FF50" s="128">
        <v>117</v>
      </c>
      <c r="FG50" s="128">
        <v>118</v>
      </c>
      <c r="FH50" s="128">
        <v>119</v>
      </c>
      <c r="FI50" s="128">
        <v>120</v>
      </c>
      <c r="FJ50" s="128">
        <v>121</v>
      </c>
      <c r="FK50" s="128">
        <v>122</v>
      </c>
      <c r="FL50" s="128">
        <v>123</v>
      </c>
      <c r="FM50" s="128">
        <v>124</v>
      </c>
      <c r="FN50" s="128">
        <v>125</v>
      </c>
      <c r="FO50" s="128">
        <v>126</v>
      </c>
      <c r="FP50" s="128">
        <v>127</v>
      </c>
      <c r="FQ50" s="128">
        <v>128</v>
      </c>
      <c r="FR50" s="128">
        <v>129</v>
      </c>
      <c r="FS50" s="128">
        <v>130</v>
      </c>
      <c r="FT50" s="128">
        <v>131</v>
      </c>
      <c r="FU50" s="128">
        <v>132</v>
      </c>
      <c r="FV50" s="128">
        <v>133</v>
      </c>
      <c r="FW50" s="128">
        <v>134</v>
      </c>
      <c r="FX50" s="128">
        <v>135</v>
      </c>
      <c r="FY50" s="128">
        <v>136</v>
      </c>
      <c r="FZ50" s="128">
        <v>137</v>
      </c>
      <c r="GA50" s="128">
        <v>138</v>
      </c>
      <c r="GB50" s="128">
        <v>139</v>
      </c>
      <c r="GC50" s="128">
        <v>140</v>
      </c>
      <c r="GD50" s="128">
        <v>141</v>
      </c>
      <c r="GE50" s="128">
        <v>142</v>
      </c>
      <c r="GF50" s="128">
        <v>143</v>
      </c>
      <c r="GG50" s="128">
        <v>144</v>
      </c>
      <c r="GH50" s="128">
        <v>145</v>
      </c>
      <c r="GI50" s="128">
        <v>146</v>
      </c>
      <c r="GJ50" s="128">
        <v>147</v>
      </c>
      <c r="GK50" s="128">
        <v>148</v>
      </c>
      <c r="GL50" s="128">
        <v>149</v>
      </c>
      <c r="GM50" s="128">
        <v>150</v>
      </c>
      <c r="GN50" s="128">
        <v>151</v>
      </c>
      <c r="GO50" s="128">
        <v>152</v>
      </c>
      <c r="GP50" s="128">
        <v>153</v>
      </c>
      <c r="GQ50" s="128">
        <v>154</v>
      </c>
      <c r="GR50" s="128">
        <v>155</v>
      </c>
      <c r="GS50" s="128">
        <v>156</v>
      </c>
      <c r="GT50" s="128">
        <v>157</v>
      </c>
      <c r="GU50" s="128">
        <v>158</v>
      </c>
      <c r="GV50" s="128">
        <v>159</v>
      </c>
      <c r="GW50" s="128">
        <v>160</v>
      </c>
      <c r="GX50" s="128">
        <v>161</v>
      </c>
      <c r="GY50" s="128">
        <v>162</v>
      </c>
      <c r="GZ50" s="128">
        <v>163</v>
      </c>
      <c r="HA50" s="128">
        <v>164</v>
      </c>
      <c r="HB50" s="128">
        <v>165</v>
      </c>
      <c r="HC50" s="128">
        <v>166</v>
      </c>
      <c r="HD50" s="128">
        <v>167</v>
      </c>
      <c r="HE50" s="128">
        <v>168</v>
      </c>
      <c r="HF50" s="128">
        <v>169</v>
      </c>
      <c r="HG50" s="128">
        <v>170</v>
      </c>
      <c r="HH50" s="128">
        <v>171</v>
      </c>
      <c r="HI50" s="128">
        <v>172</v>
      </c>
      <c r="HJ50" s="128">
        <v>173</v>
      </c>
      <c r="HK50" s="128">
        <v>174</v>
      </c>
      <c r="HL50" s="128">
        <v>175</v>
      </c>
      <c r="HM50" s="128">
        <v>176</v>
      </c>
      <c r="HN50" s="128">
        <v>177</v>
      </c>
      <c r="HO50" s="128">
        <v>178</v>
      </c>
      <c r="HP50" s="128">
        <v>179</v>
      </c>
      <c r="HQ50" s="128">
        <v>180</v>
      </c>
      <c r="HR50" s="128">
        <v>181</v>
      </c>
      <c r="HS50" s="128">
        <v>182</v>
      </c>
      <c r="HT50" s="128">
        <v>183</v>
      </c>
      <c r="HU50" s="128">
        <v>184</v>
      </c>
      <c r="HV50" s="128">
        <v>185</v>
      </c>
      <c r="HW50" s="128">
        <v>186</v>
      </c>
      <c r="HX50" s="128">
        <v>187</v>
      </c>
      <c r="HY50" s="128">
        <v>188</v>
      </c>
      <c r="HZ50" s="128">
        <v>189</v>
      </c>
      <c r="IA50" s="128">
        <v>190</v>
      </c>
      <c r="IB50" s="128">
        <v>191</v>
      </c>
      <c r="IC50" s="128">
        <v>192</v>
      </c>
      <c r="ID50" s="128">
        <v>193</v>
      </c>
      <c r="IE50" s="128">
        <v>194</v>
      </c>
      <c r="IF50" s="128">
        <v>195</v>
      </c>
      <c r="IG50" s="128">
        <v>196</v>
      </c>
      <c r="IH50" s="128">
        <v>197</v>
      </c>
      <c r="II50" s="128">
        <v>198</v>
      </c>
      <c r="IJ50" s="128">
        <v>199</v>
      </c>
      <c r="IK50" s="128">
        <v>200</v>
      </c>
      <c r="IL50" s="128">
        <v>201</v>
      </c>
      <c r="IM50" s="128">
        <v>202</v>
      </c>
      <c r="IN50" s="128">
        <v>203</v>
      </c>
      <c r="IO50" s="128">
        <v>204</v>
      </c>
      <c r="IP50" s="128">
        <v>205</v>
      </c>
      <c r="IQ50" s="128">
        <v>206</v>
      </c>
      <c r="IR50" s="128">
        <v>207</v>
      </c>
      <c r="IS50" s="128">
        <v>208</v>
      </c>
      <c r="IT50" s="128">
        <v>209</v>
      </c>
      <c r="IU50" s="128">
        <v>210</v>
      </c>
      <c r="IV50" s="128">
        <v>211</v>
      </c>
      <c r="IW50" s="128">
        <v>212</v>
      </c>
      <c r="IX50" s="128">
        <v>213</v>
      </c>
      <c r="IY50" s="128">
        <v>214</v>
      </c>
      <c r="IZ50" s="128">
        <v>215</v>
      </c>
      <c r="JA50" s="128">
        <v>216</v>
      </c>
      <c r="JB50" s="128">
        <v>217</v>
      </c>
      <c r="JC50" s="128">
        <v>218</v>
      </c>
      <c r="JD50" s="128">
        <v>219</v>
      </c>
      <c r="JE50" s="128">
        <v>220</v>
      </c>
      <c r="JF50" s="128">
        <v>221</v>
      </c>
      <c r="JG50" s="128">
        <v>222</v>
      </c>
      <c r="JH50" s="128">
        <v>223</v>
      </c>
      <c r="JI50" s="128">
        <v>224</v>
      </c>
      <c r="JJ50" s="128">
        <v>225</v>
      </c>
      <c r="JK50" s="128">
        <v>226</v>
      </c>
      <c r="JL50" s="128">
        <v>227</v>
      </c>
      <c r="JM50" s="128">
        <v>228</v>
      </c>
      <c r="JN50" s="128">
        <v>229</v>
      </c>
      <c r="JO50" s="128">
        <v>230</v>
      </c>
      <c r="JP50" s="128">
        <v>231</v>
      </c>
      <c r="JQ50" s="128">
        <v>232</v>
      </c>
      <c r="JR50" s="128">
        <v>233</v>
      </c>
      <c r="JS50" s="128">
        <v>234</v>
      </c>
      <c r="JT50" s="128">
        <v>235</v>
      </c>
      <c r="JU50" s="128">
        <v>236</v>
      </c>
      <c r="JV50" s="128">
        <v>237</v>
      </c>
      <c r="JW50" s="128">
        <v>238</v>
      </c>
      <c r="JX50" s="128">
        <v>239</v>
      </c>
      <c r="JY50" s="128">
        <v>240</v>
      </c>
      <c r="JZ50" s="128">
        <v>241</v>
      </c>
      <c r="KA50" s="128">
        <v>242</v>
      </c>
      <c r="KB50" s="128">
        <v>243</v>
      </c>
      <c r="KC50" s="128">
        <v>244</v>
      </c>
      <c r="KD50" s="128">
        <v>245</v>
      </c>
      <c r="KE50" s="128">
        <v>246</v>
      </c>
      <c r="KF50" s="128">
        <v>247</v>
      </c>
      <c r="KG50" s="128">
        <v>248</v>
      </c>
      <c r="KH50" s="128">
        <v>249</v>
      </c>
      <c r="KI50" s="128">
        <v>250</v>
      </c>
      <c r="KJ50" s="128">
        <v>251</v>
      </c>
      <c r="KK50" s="128">
        <v>252</v>
      </c>
      <c r="KL50" s="128">
        <v>253</v>
      </c>
      <c r="KM50" s="128">
        <v>254</v>
      </c>
      <c r="KN50" s="128">
        <v>255</v>
      </c>
      <c r="KO50" s="128">
        <v>256</v>
      </c>
      <c r="KP50" s="128">
        <v>257</v>
      </c>
      <c r="KQ50" s="128">
        <v>258</v>
      </c>
      <c r="KR50" s="128">
        <v>259</v>
      </c>
      <c r="KS50" s="128">
        <v>260</v>
      </c>
      <c r="KT50" s="128">
        <v>261</v>
      </c>
      <c r="KU50" s="128">
        <v>262</v>
      </c>
      <c r="KV50" s="128">
        <v>263</v>
      </c>
      <c r="KW50" s="128">
        <v>264</v>
      </c>
      <c r="KX50" s="128">
        <v>265</v>
      </c>
      <c r="KY50" s="128">
        <v>266</v>
      </c>
      <c r="KZ50" s="128">
        <v>267</v>
      </c>
      <c r="LA50" s="128">
        <v>268</v>
      </c>
      <c r="LB50" s="128">
        <v>269</v>
      </c>
      <c r="LC50" s="128">
        <v>270</v>
      </c>
      <c r="LD50" s="128">
        <v>271</v>
      </c>
      <c r="LE50" s="128">
        <v>272</v>
      </c>
      <c r="LF50" s="128">
        <v>273</v>
      </c>
      <c r="LG50" s="128">
        <v>274</v>
      </c>
      <c r="LH50" s="128">
        <v>275</v>
      </c>
      <c r="LI50" s="128">
        <v>276</v>
      </c>
      <c r="LJ50" s="128">
        <v>277</v>
      </c>
      <c r="LK50" s="128">
        <v>278</v>
      </c>
      <c r="LL50" s="128">
        <v>279</v>
      </c>
      <c r="LM50" s="128">
        <v>280</v>
      </c>
      <c r="LN50" s="128">
        <v>281</v>
      </c>
      <c r="LO50" s="128">
        <v>282</v>
      </c>
      <c r="LP50" s="128">
        <v>283</v>
      </c>
      <c r="LQ50" s="128">
        <v>284</v>
      </c>
      <c r="LR50" s="128">
        <v>285</v>
      </c>
      <c r="LS50" s="128">
        <v>286</v>
      </c>
      <c r="LT50" s="128">
        <v>287</v>
      </c>
      <c r="LU50" s="128">
        <v>288</v>
      </c>
      <c r="LV50" s="128">
        <v>289</v>
      </c>
      <c r="LW50" s="128">
        <v>290</v>
      </c>
      <c r="LX50" s="128">
        <v>291</v>
      </c>
      <c r="LY50" s="128">
        <v>292</v>
      </c>
      <c r="LZ50" s="128">
        <v>293</v>
      </c>
      <c r="MA50" s="128">
        <v>294</v>
      </c>
      <c r="MB50" s="128">
        <v>295</v>
      </c>
      <c r="MC50" s="128">
        <v>296</v>
      </c>
      <c r="MD50" s="128">
        <v>297</v>
      </c>
      <c r="ME50" s="128">
        <v>298</v>
      </c>
      <c r="MF50" s="128">
        <v>299</v>
      </c>
      <c r="MG50" s="128">
        <v>300</v>
      </c>
      <c r="MH50" s="128">
        <v>301</v>
      </c>
      <c r="MI50" s="128">
        <v>302</v>
      </c>
      <c r="MJ50" s="128">
        <v>303</v>
      </c>
      <c r="MK50" s="128">
        <v>304</v>
      </c>
      <c r="ML50" s="128">
        <v>305</v>
      </c>
      <c r="MM50" s="128">
        <v>306</v>
      </c>
      <c r="MN50" s="128">
        <v>307</v>
      </c>
      <c r="MO50" s="128">
        <v>308</v>
      </c>
      <c r="MP50" s="128">
        <v>309</v>
      </c>
      <c r="MQ50" s="128">
        <v>310</v>
      </c>
      <c r="MR50" s="128">
        <v>311</v>
      </c>
      <c r="MS50" s="128">
        <v>312</v>
      </c>
      <c r="MT50" s="128">
        <v>313</v>
      </c>
      <c r="MU50" s="128">
        <v>314</v>
      </c>
      <c r="MV50" s="128">
        <v>315</v>
      </c>
      <c r="MW50" s="128">
        <v>316</v>
      </c>
      <c r="MX50" s="128">
        <v>317</v>
      </c>
      <c r="MY50" s="128">
        <v>318</v>
      </c>
      <c r="MZ50" s="128">
        <v>319</v>
      </c>
      <c r="NA50" s="128">
        <v>320</v>
      </c>
      <c r="NB50" s="128">
        <v>321</v>
      </c>
      <c r="NC50" s="128">
        <v>322</v>
      </c>
      <c r="ND50" s="128">
        <v>323</v>
      </c>
      <c r="NE50" s="128">
        <v>324</v>
      </c>
      <c r="NF50" s="128">
        <v>325</v>
      </c>
      <c r="NG50" s="128">
        <v>326</v>
      </c>
      <c r="NH50" s="128">
        <v>327</v>
      </c>
      <c r="NI50" s="128">
        <v>328</v>
      </c>
      <c r="NJ50" s="128">
        <v>329</v>
      </c>
      <c r="NK50" s="128">
        <v>330</v>
      </c>
      <c r="NL50" s="128">
        <v>331</v>
      </c>
      <c r="NM50" s="128">
        <v>332</v>
      </c>
      <c r="NN50" s="128">
        <v>333</v>
      </c>
      <c r="NO50" s="128">
        <v>334</v>
      </c>
      <c r="NP50" s="128">
        <v>335</v>
      </c>
      <c r="NQ50" s="128">
        <v>336</v>
      </c>
      <c r="NR50" s="128">
        <v>337</v>
      </c>
      <c r="NS50" s="128">
        <v>338</v>
      </c>
      <c r="NT50" s="128">
        <v>339</v>
      </c>
      <c r="NU50" s="128">
        <v>340</v>
      </c>
      <c r="NV50" s="128">
        <v>341</v>
      </c>
      <c r="NW50" s="128">
        <v>342</v>
      </c>
      <c r="NX50" s="128">
        <v>343</v>
      </c>
      <c r="NY50" s="128">
        <v>344</v>
      </c>
      <c r="NZ50" s="128">
        <v>345</v>
      </c>
      <c r="OA50" s="128">
        <v>346</v>
      </c>
      <c r="OB50" s="128">
        <v>347</v>
      </c>
      <c r="OC50" s="128">
        <v>348</v>
      </c>
      <c r="OD50" s="128">
        <v>349</v>
      </c>
      <c r="OE50" s="128">
        <v>350</v>
      </c>
      <c r="OF50" s="128">
        <v>351</v>
      </c>
      <c r="OG50" s="128">
        <v>352</v>
      </c>
      <c r="OH50" s="128">
        <v>353</v>
      </c>
      <c r="OI50" s="128">
        <v>354</v>
      </c>
      <c r="OJ50" s="128">
        <v>355</v>
      </c>
      <c r="OK50" s="128">
        <v>356</v>
      </c>
      <c r="OL50" s="128">
        <v>357</v>
      </c>
      <c r="OM50" s="128">
        <v>358</v>
      </c>
      <c r="ON50" s="128">
        <v>359</v>
      </c>
      <c r="OO50" s="128">
        <v>360</v>
      </c>
      <c r="OP50" s="128">
        <v>361</v>
      </c>
      <c r="OQ50" s="128">
        <v>362</v>
      </c>
      <c r="OR50" s="128">
        <v>363</v>
      </c>
      <c r="OS50" s="128">
        <v>364</v>
      </c>
      <c r="OT50" s="128">
        <v>365</v>
      </c>
      <c r="OU50" s="128">
        <v>366</v>
      </c>
      <c r="OV50" s="128">
        <v>367</v>
      </c>
      <c r="OW50" s="128">
        <v>368</v>
      </c>
      <c r="OX50" s="128">
        <v>369</v>
      </c>
      <c r="OY50" s="128">
        <v>370</v>
      </c>
      <c r="OZ50" s="128">
        <v>371</v>
      </c>
      <c r="PA50" s="128">
        <v>372</v>
      </c>
      <c r="PB50" s="128">
        <v>373</v>
      </c>
      <c r="PC50" s="128">
        <v>374</v>
      </c>
      <c r="PD50" s="128">
        <v>375</v>
      </c>
      <c r="PE50" s="128">
        <v>376</v>
      </c>
      <c r="PF50" s="128">
        <v>377</v>
      </c>
      <c r="PG50" s="128">
        <v>378</v>
      </c>
      <c r="PH50" s="128">
        <v>379</v>
      </c>
      <c r="PI50" s="128">
        <v>380</v>
      </c>
      <c r="PJ50" s="128">
        <v>381</v>
      </c>
      <c r="PK50" s="128">
        <v>382</v>
      </c>
      <c r="PL50" s="128">
        <v>383</v>
      </c>
      <c r="PM50" s="128">
        <v>384</v>
      </c>
      <c r="PN50" s="128">
        <v>385</v>
      </c>
      <c r="PO50" s="128">
        <v>386</v>
      </c>
      <c r="PP50" s="128">
        <v>387</v>
      </c>
      <c r="PQ50" s="128">
        <v>388</v>
      </c>
      <c r="PR50" s="128">
        <v>389</v>
      </c>
      <c r="PS50" s="128">
        <v>390</v>
      </c>
      <c r="PT50" s="128">
        <v>391</v>
      </c>
      <c r="PU50" s="128">
        <v>392</v>
      </c>
      <c r="PV50" s="128">
        <v>393</v>
      </c>
      <c r="PW50" s="128">
        <v>394</v>
      </c>
      <c r="PX50" s="128">
        <v>395</v>
      </c>
      <c r="PY50" s="128">
        <v>396</v>
      </c>
      <c r="PZ50" s="128">
        <v>397</v>
      </c>
      <c r="QA50" s="128">
        <v>398</v>
      </c>
      <c r="QB50" s="128">
        <v>399</v>
      </c>
      <c r="QC50" s="128">
        <v>400</v>
      </c>
      <c r="QD50" s="129" t="s">
        <v>40</v>
      </c>
    </row>
    <row r="51" spans="1:446" x14ac:dyDescent="0.2">
      <c r="A51" s="32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V51" s="15"/>
      <c r="W51" s="15"/>
      <c r="Y51" s="45" t="str">
        <f>Z51&amp;AB51</f>
        <v>1010</v>
      </c>
      <c r="Z51" s="38">
        <v>10</v>
      </c>
      <c r="AA51" s="51">
        <v>15</v>
      </c>
      <c r="AB51" s="38">
        <v>10</v>
      </c>
      <c r="AC51" s="51">
        <v>7.5</v>
      </c>
      <c r="AP51" s="16"/>
      <c r="AR51" s="127">
        <v>10</v>
      </c>
      <c r="AS51" s="127">
        <v>10</v>
      </c>
      <c r="AT51" s="127"/>
      <c r="AU51" s="128"/>
      <c r="AV51" s="128"/>
      <c r="AW51" s="128"/>
      <c r="AX51" s="128"/>
      <c r="AY51" s="128">
        <v>1</v>
      </c>
      <c r="AZ51" s="128"/>
      <c r="BA51" s="128"/>
      <c r="BB51" s="128"/>
      <c r="BC51" s="128"/>
      <c r="BD51" s="128"/>
      <c r="BE51" s="128"/>
      <c r="BF51" s="128"/>
      <c r="BG51" s="128"/>
      <c r="BH51" s="128"/>
      <c r="BI51" s="128"/>
      <c r="BJ51" s="128"/>
      <c r="BK51" s="128"/>
      <c r="BL51" s="128"/>
      <c r="BM51" s="128"/>
      <c r="BN51" s="128"/>
      <c r="BO51" s="128"/>
      <c r="BP51" s="128"/>
      <c r="BQ51" s="128"/>
      <c r="BR51" s="128"/>
      <c r="BS51" s="128"/>
      <c r="BT51" s="128"/>
      <c r="BU51" s="128"/>
      <c r="BV51" s="128"/>
      <c r="BW51" s="128"/>
      <c r="BX51" s="128"/>
      <c r="BY51" s="128"/>
      <c r="BZ51" s="128"/>
      <c r="CA51" s="128"/>
      <c r="CB51" s="128"/>
      <c r="CC51" s="128"/>
      <c r="CD51" s="128"/>
      <c r="CE51" s="128"/>
      <c r="CF51" s="128"/>
      <c r="CG51" s="128"/>
      <c r="CH51" s="128"/>
      <c r="CI51" s="128"/>
      <c r="CJ51" s="128"/>
      <c r="CK51" s="128"/>
      <c r="CL51" s="128"/>
      <c r="CM51" s="128"/>
      <c r="CN51" s="128"/>
      <c r="CO51" s="128"/>
      <c r="CP51" s="128"/>
      <c r="CQ51" s="128"/>
      <c r="CR51" s="128"/>
      <c r="CS51" s="128"/>
      <c r="CT51" s="128"/>
      <c r="CU51" s="128"/>
      <c r="CV51" s="128"/>
      <c r="CW51" s="128"/>
      <c r="CX51" s="128"/>
      <c r="CY51" s="128"/>
      <c r="CZ51" s="128"/>
      <c r="DA51" s="128"/>
      <c r="DB51" s="128"/>
      <c r="DC51" s="128"/>
      <c r="DD51" s="128"/>
      <c r="DE51" s="128"/>
      <c r="DF51" s="128"/>
      <c r="DG51" s="128"/>
      <c r="DH51" s="128"/>
      <c r="DI51" s="128"/>
      <c r="DJ51" s="128"/>
      <c r="DK51" s="128"/>
      <c r="DL51" s="128"/>
      <c r="DM51" s="128"/>
      <c r="DN51" s="128"/>
      <c r="DO51" s="128"/>
      <c r="DP51" s="128"/>
      <c r="DQ51" s="128"/>
      <c r="DR51" s="128"/>
      <c r="DS51" s="128"/>
      <c r="DT51" s="128"/>
      <c r="DU51" s="128"/>
      <c r="DV51" s="128"/>
      <c r="DW51" s="128"/>
      <c r="DX51" s="128"/>
      <c r="DY51" s="128"/>
      <c r="DZ51" s="128"/>
      <c r="EA51" s="128"/>
      <c r="EB51" s="128"/>
      <c r="EC51" s="128"/>
      <c r="ED51" s="128"/>
      <c r="EE51" s="128"/>
      <c r="EF51" s="128"/>
      <c r="EG51" s="128"/>
      <c r="EH51" s="128"/>
      <c r="EI51" s="128"/>
      <c r="EJ51" s="128"/>
      <c r="EK51" s="128"/>
      <c r="EL51" s="128"/>
      <c r="EM51" s="128"/>
      <c r="EN51" s="128"/>
      <c r="EO51" s="128"/>
      <c r="EP51" s="128"/>
      <c r="EQ51" s="128"/>
      <c r="ER51" s="128"/>
      <c r="ES51" s="128"/>
      <c r="ET51" s="128"/>
      <c r="EU51" s="128"/>
      <c r="EV51" s="128"/>
      <c r="EW51" s="128"/>
      <c r="EX51" s="128"/>
      <c r="EY51" s="128"/>
      <c r="EZ51" s="128"/>
      <c r="FA51" s="128"/>
      <c r="FB51" s="128"/>
      <c r="FC51" s="128"/>
      <c r="FD51" s="128"/>
      <c r="FE51" s="128"/>
      <c r="FF51" s="128"/>
      <c r="FG51" s="128"/>
      <c r="FH51" s="128"/>
      <c r="FI51" s="128"/>
      <c r="FJ51" s="128"/>
      <c r="FK51" s="128"/>
      <c r="FL51" s="128"/>
      <c r="FM51" s="128"/>
      <c r="FN51" s="128"/>
      <c r="FO51" s="128"/>
      <c r="FP51" s="128"/>
      <c r="FQ51" s="128"/>
      <c r="FR51" s="128"/>
      <c r="FS51" s="128"/>
      <c r="FT51" s="128"/>
      <c r="FU51" s="128"/>
      <c r="FV51" s="128"/>
      <c r="FW51" s="128"/>
      <c r="FX51" s="128"/>
      <c r="FY51" s="128"/>
      <c r="FZ51" s="128"/>
      <c r="GA51" s="128"/>
      <c r="GB51" s="128"/>
      <c r="GC51" s="128"/>
      <c r="GD51" s="128"/>
      <c r="GE51" s="128"/>
      <c r="GF51" s="128"/>
      <c r="GG51" s="128"/>
      <c r="GH51" s="128"/>
      <c r="GI51" s="128"/>
      <c r="GJ51" s="128"/>
      <c r="GK51" s="128"/>
      <c r="GL51" s="128"/>
      <c r="GM51" s="128"/>
      <c r="GN51" s="128"/>
      <c r="GO51" s="128"/>
      <c r="GP51" s="128"/>
      <c r="GQ51" s="128"/>
      <c r="GR51" s="128"/>
      <c r="GS51" s="128"/>
      <c r="GT51" s="128"/>
      <c r="GU51" s="128"/>
      <c r="GV51" s="128"/>
      <c r="GW51" s="128"/>
      <c r="GX51" s="128"/>
      <c r="GY51" s="128"/>
      <c r="GZ51" s="128"/>
      <c r="HA51" s="128"/>
      <c r="HB51" s="128"/>
      <c r="HC51" s="128"/>
      <c r="HD51" s="128"/>
      <c r="HE51" s="128"/>
      <c r="HF51" s="128"/>
      <c r="HG51" s="128"/>
      <c r="HH51" s="128"/>
      <c r="HI51" s="128"/>
      <c r="HJ51" s="128"/>
      <c r="HK51" s="128"/>
      <c r="HL51" s="128"/>
      <c r="HM51" s="128"/>
      <c r="HN51" s="128"/>
      <c r="HO51" s="128"/>
      <c r="HP51" s="128"/>
      <c r="HQ51" s="128"/>
      <c r="HR51" s="128"/>
      <c r="HS51" s="128"/>
      <c r="HT51" s="128"/>
      <c r="HU51" s="128"/>
      <c r="HV51" s="128"/>
      <c r="HW51" s="128"/>
      <c r="HX51" s="128"/>
      <c r="HY51" s="128"/>
      <c r="HZ51" s="128"/>
      <c r="IA51" s="128"/>
      <c r="IB51" s="128"/>
      <c r="IC51" s="128"/>
      <c r="ID51" s="128"/>
      <c r="IE51" s="128"/>
      <c r="IF51" s="128"/>
      <c r="IG51" s="128"/>
      <c r="IH51" s="128"/>
      <c r="II51" s="128"/>
      <c r="IJ51" s="128"/>
      <c r="IK51" s="128"/>
      <c r="IL51" s="128"/>
      <c r="IM51" s="128"/>
      <c r="IN51" s="128"/>
      <c r="IO51" s="128"/>
      <c r="IP51" s="128"/>
      <c r="IQ51" s="128"/>
      <c r="IR51" s="128"/>
      <c r="IS51" s="128"/>
      <c r="IT51" s="128"/>
      <c r="IU51" s="128"/>
      <c r="IV51" s="128"/>
      <c r="IW51" s="128"/>
      <c r="IX51" s="128"/>
      <c r="IY51" s="128"/>
      <c r="IZ51" s="128"/>
      <c r="JA51" s="128"/>
      <c r="JB51" s="128"/>
      <c r="JC51" s="128"/>
      <c r="JD51" s="128"/>
      <c r="JE51" s="128"/>
      <c r="JF51" s="128"/>
      <c r="JG51" s="128"/>
      <c r="JH51" s="128"/>
      <c r="JI51" s="128"/>
      <c r="JJ51" s="128"/>
      <c r="JK51" s="128"/>
      <c r="JL51" s="128"/>
      <c r="JM51" s="128"/>
      <c r="JN51" s="128"/>
      <c r="JO51" s="128"/>
      <c r="JP51" s="128"/>
      <c r="JQ51" s="128"/>
      <c r="JR51" s="128"/>
      <c r="JS51" s="128"/>
      <c r="JT51" s="128"/>
      <c r="JU51" s="128"/>
      <c r="JV51" s="128"/>
      <c r="JW51" s="128"/>
      <c r="JX51" s="128"/>
      <c r="JY51" s="128"/>
      <c r="JZ51" s="128"/>
      <c r="KA51" s="128"/>
      <c r="KB51" s="128"/>
      <c r="KC51" s="128"/>
      <c r="KD51" s="128"/>
      <c r="KE51" s="128"/>
      <c r="KF51" s="128"/>
      <c r="KG51" s="128"/>
      <c r="KH51" s="128"/>
      <c r="KI51" s="128"/>
      <c r="KJ51" s="128"/>
      <c r="KK51" s="128"/>
      <c r="KL51" s="128"/>
      <c r="KM51" s="128"/>
      <c r="KN51" s="128"/>
      <c r="KO51" s="128"/>
      <c r="KP51" s="128"/>
      <c r="KQ51" s="128"/>
      <c r="KR51" s="128"/>
      <c r="KS51" s="128"/>
      <c r="KT51" s="128"/>
      <c r="KU51" s="128"/>
      <c r="KV51" s="128"/>
      <c r="KW51" s="128"/>
      <c r="KX51" s="128"/>
      <c r="KY51" s="128"/>
      <c r="KZ51" s="128"/>
      <c r="LA51" s="128"/>
      <c r="LB51" s="128"/>
      <c r="LC51" s="128"/>
      <c r="LD51" s="128"/>
      <c r="LE51" s="128"/>
      <c r="LF51" s="128"/>
      <c r="LG51" s="128"/>
      <c r="LH51" s="128"/>
      <c r="LI51" s="128"/>
      <c r="LJ51" s="128"/>
      <c r="LK51" s="128"/>
      <c r="LL51" s="128"/>
      <c r="LM51" s="128"/>
      <c r="LN51" s="128"/>
      <c r="LO51" s="128"/>
      <c r="LP51" s="128"/>
      <c r="LQ51" s="128"/>
      <c r="LR51" s="128"/>
      <c r="LS51" s="128"/>
      <c r="LT51" s="128"/>
      <c r="LU51" s="128"/>
      <c r="LV51" s="128"/>
      <c r="LW51" s="128"/>
      <c r="LX51" s="128"/>
      <c r="LY51" s="128"/>
      <c r="LZ51" s="128"/>
      <c r="MA51" s="128"/>
      <c r="MB51" s="128"/>
      <c r="MC51" s="128"/>
      <c r="MD51" s="128"/>
      <c r="ME51" s="128"/>
      <c r="MF51" s="128"/>
      <c r="MG51" s="128"/>
      <c r="MH51" s="128"/>
      <c r="MI51" s="128"/>
      <c r="MJ51" s="128"/>
      <c r="MK51" s="128"/>
      <c r="ML51" s="128"/>
      <c r="MM51" s="128"/>
      <c r="MN51" s="128"/>
      <c r="MO51" s="128"/>
      <c r="MP51" s="128"/>
      <c r="MQ51" s="128"/>
      <c r="MR51" s="128"/>
      <c r="MS51" s="128"/>
      <c r="MT51" s="128"/>
      <c r="MU51" s="128"/>
      <c r="MV51" s="128"/>
      <c r="MW51" s="128"/>
      <c r="MX51" s="128"/>
      <c r="MY51" s="128"/>
      <c r="MZ51" s="128"/>
      <c r="NA51" s="128"/>
      <c r="NB51" s="128"/>
      <c r="NC51" s="128"/>
      <c r="ND51" s="128"/>
      <c r="NE51" s="128"/>
      <c r="NF51" s="128"/>
      <c r="NG51" s="128"/>
      <c r="NH51" s="128"/>
      <c r="NI51" s="128"/>
      <c r="NJ51" s="128"/>
      <c r="NK51" s="128"/>
      <c r="NL51" s="128"/>
      <c r="NM51" s="128"/>
      <c r="NN51" s="128"/>
      <c r="NO51" s="128"/>
      <c r="NP51" s="128"/>
      <c r="NQ51" s="128"/>
      <c r="NR51" s="128"/>
      <c r="NS51" s="128"/>
      <c r="NT51" s="128"/>
      <c r="NU51" s="128"/>
      <c r="NV51" s="128"/>
      <c r="NW51" s="128"/>
      <c r="NX51" s="128"/>
      <c r="NY51" s="128"/>
      <c r="NZ51" s="128"/>
      <c r="OA51" s="128"/>
      <c r="OB51" s="128"/>
      <c r="OC51" s="128"/>
      <c r="OD51" s="128"/>
      <c r="OE51" s="128"/>
      <c r="OF51" s="128"/>
      <c r="OG51" s="128"/>
      <c r="OH51" s="128"/>
      <c r="OI51" s="128"/>
      <c r="OJ51" s="128"/>
      <c r="OK51" s="128"/>
      <c r="OL51" s="128"/>
      <c r="OM51" s="128"/>
      <c r="ON51" s="128"/>
      <c r="OO51" s="128"/>
      <c r="OP51" s="128"/>
      <c r="OQ51" s="128"/>
      <c r="OR51" s="128"/>
      <c r="OS51" s="128"/>
      <c r="OT51" s="128"/>
      <c r="OU51" s="128"/>
      <c r="OV51" s="128"/>
      <c r="OW51" s="128"/>
      <c r="OX51" s="128"/>
      <c r="OY51" s="128"/>
      <c r="OZ51" s="128"/>
      <c r="PA51" s="128"/>
      <c r="PB51" s="128"/>
      <c r="PC51" s="128"/>
      <c r="PD51" s="128"/>
      <c r="PE51" s="128"/>
      <c r="PF51" s="128"/>
      <c r="PG51" s="128"/>
      <c r="PH51" s="128"/>
      <c r="PI51" s="128"/>
      <c r="PJ51" s="128"/>
      <c r="PK51" s="128"/>
      <c r="PL51" s="128"/>
      <c r="PM51" s="128"/>
      <c r="PN51" s="128"/>
      <c r="PO51" s="128"/>
      <c r="PP51" s="128"/>
      <c r="PQ51" s="128"/>
      <c r="PR51" s="128"/>
      <c r="PS51" s="128"/>
      <c r="PT51" s="128"/>
      <c r="PU51" s="128"/>
      <c r="PV51" s="128"/>
      <c r="PW51" s="128"/>
      <c r="PX51" s="128"/>
      <c r="PY51" s="128"/>
      <c r="PZ51" s="128"/>
      <c r="QA51" s="128"/>
      <c r="QB51" s="128"/>
      <c r="QC51" s="128"/>
      <c r="QD51" s="129"/>
    </row>
    <row r="52" spans="1:446" x14ac:dyDescent="0.2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W52" s="15"/>
      <c r="Y52" s="45" t="str">
        <f t="shared" ref="Y52:Y75" si="69">Z52&amp;AB52</f>
        <v>1020</v>
      </c>
      <c r="Z52" s="38">
        <v>10</v>
      </c>
      <c r="AA52" s="51">
        <v>11</v>
      </c>
      <c r="AB52" s="38">
        <v>20</v>
      </c>
      <c r="AC52" s="51">
        <v>20.5</v>
      </c>
      <c r="AR52" s="127">
        <v>20</v>
      </c>
      <c r="AS52" s="127">
        <v>10</v>
      </c>
      <c r="AT52" s="127"/>
      <c r="AU52" s="128"/>
      <c r="AV52" s="128"/>
      <c r="AW52" s="128">
        <v>1</v>
      </c>
      <c r="AX52" s="128"/>
      <c r="AY52" s="128"/>
      <c r="AZ52" s="128">
        <v>1</v>
      </c>
      <c r="BA52" s="128"/>
      <c r="BB52" s="128"/>
      <c r="BC52" s="128"/>
      <c r="BD52" s="128"/>
      <c r="BE52" s="128"/>
      <c r="BF52" s="128"/>
      <c r="BG52" s="128"/>
      <c r="BH52" s="128"/>
      <c r="BI52" s="128"/>
      <c r="BJ52" s="128"/>
      <c r="BK52" s="128"/>
      <c r="BL52" s="128"/>
      <c r="BM52" s="128"/>
      <c r="BN52" s="128"/>
      <c r="BO52" s="128"/>
      <c r="BP52" s="128"/>
      <c r="BQ52" s="128"/>
      <c r="BR52" s="128"/>
      <c r="BS52" s="128"/>
      <c r="BT52" s="128"/>
      <c r="BU52" s="128"/>
      <c r="BV52" s="128"/>
      <c r="BW52" s="128"/>
      <c r="BX52" s="128"/>
      <c r="BY52" s="128"/>
      <c r="BZ52" s="128"/>
      <c r="CA52" s="128"/>
      <c r="CB52" s="128"/>
      <c r="CC52" s="128"/>
      <c r="CD52" s="128"/>
      <c r="CE52" s="128"/>
      <c r="CF52" s="128"/>
      <c r="CG52" s="128"/>
      <c r="CH52" s="128"/>
      <c r="CI52" s="128"/>
      <c r="CJ52" s="128"/>
      <c r="CK52" s="128"/>
      <c r="CL52" s="128"/>
      <c r="CM52" s="128"/>
      <c r="CN52" s="128"/>
      <c r="CO52" s="128"/>
      <c r="CP52" s="128"/>
      <c r="CQ52" s="128"/>
      <c r="CR52" s="128"/>
      <c r="CS52" s="128"/>
      <c r="CT52" s="128"/>
      <c r="CU52" s="128"/>
      <c r="CV52" s="128"/>
      <c r="CW52" s="128"/>
      <c r="CX52" s="128"/>
      <c r="CY52" s="128"/>
      <c r="CZ52" s="128"/>
      <c r="DA52" s="128"/>
      <c r="DB52" s="128"/>
      <c r="DC52" s="128"/>
      <c r="DD52" s="128"/>
      <c r="DE52" s="128"/>
      <c r="DF52" s="128"/>
      <c r="DG52" s="128"/>
      <c r="DH52" s="128"/>
      <c r="DI52" s="128"/>
      <c r="DJ52" s="128"/>
      <c r="DK52" s="128"/>
      <c r="DL52" s="128"/>
      <c r="DM52" s="128"/>
      <c r="DN52" s="128"/>
      <c r="DO52" s="128"/>
      <c r="DP52" s="128"/>
      <c r="DQ52" s="128"/>
      <c r="DR52" s="128"/>
      <c r="DS52" s="128"/>
      <c r="DT52" s="128"/>
      <c r="DU52" s="128"/>
      <c r="DV52" s="128"/>
      <c r="DW52" s="128"/>
      <c r="DX52" s="128"/>
      <c r="DY52" s="128"/>
      <c r="DZ52" s="128"/>
      <c r="EA52" s="128"/>
      <c r="EB52" s="128"/>
      <c r="EC52" s="128"/>
      <c r="ED52" s="128"/>
      <c r="EE52" s="128"/>
      <c r="EF52" s="128"/>
      <c r="EG52" s="128"/>
      <c r="EH52" s="128"/>
      <c r="EI52" s="128"/>
      <c r="EJ52" s="128"/>
      <c r="EK52" s="128"/>
      <c r="EL52" s="128"/>
      <c r="EM52" s="128"/>
      <c r="EN52" s="128"/>
      <c r="EO52" s="128"/>
      <c r="EP52" s="128"/>
      <c r="EQ52" s="128"/>
      <c r="ER52" s="128"/>
      <c r="ES52" s="128"/>
      <c r="ET52" s="128"/>
      <c r="EU52" s="128"/>
      <c r="EV52" s="128"/>
      <c r="EW52" s="128"/>
      <c r="EX52" s="128"/>
      <c r="EY52" s="128"/>
      <c r="EZ52" s="128"/>
      <c r="FA52" s="128"/>
      <c r="FB52" s="128"/>
      <c r="FC52" s="128"/>
      <c r="FD52" s="128"/>
      <c r="FE52" s="128"/>
      <c r="FF52" s="128"/>
      <c r="FG52" s="128"/>
      <c r="FH52" s="128"/>
      <c r="FI52" s="128"/>
      <c r="FJ52" s="128"/>
      <c r="FK52" s="128"/>
      <c r="FL52" s="128"/>
      <c r="FM52" s="128"/>
      <c r="FN52" s="128"/>
      <c r="FO52" s="128"/>
      <c r="FP52" s="128"/>
      <c r="FQ52" s="128"/>
      <c r="FR52" s="128"/>
      <c r="FS52" s="128"/>
      <c r="FT52" s="128"/>
      <c r="FU52" s="128"/>
      <c r="FV52" s="128"/>
      <c r="FW52" s="128"/>
      <c r="FX52" s="128"/>
      <c r="FY52" s="128"/>
      <c r="FZ52" s="128"/>
      <c r="GA52" s="128"/>
      <c r="GB52" s="128"/>
      <c r="GC52" s="128"/>
      <c r="GD52" s="128"/>
      <c r="GE52" s="128"/>
      <c r="GF52" s="128"/>
      <c r="GG52" s="128"/>
      <c r="GH52" s="128"/>
      <c r="GI52" s="128"/>
      <c r="GJ52" s="128"/>
      <c r="GK52" s="128"/>
      <c r="GL52" s="128"/>
      <c r="GM52" s="128"/>
      <c r="GN52" s="128"/>
      <c r="GO52" s="128"/>
      <c r="GP52" s="128"/>
      <c r="GQ52" s="128"/>
      <c r="GR52" s="128"/>
      <c r="GS52" s="128"/>
      <c r="GT52" s="128"/>
      <c r="GU52" s="128"/>
      <c r="GV52" s="128"/>
      <c r="GW52" s="128"/>
      <c r="GX52" s="128"/>
      <c r="GY52" s="128"/>
      <c r="GZ52" s="128"/>
      <c r="HA52" s="128"/>
      <c r="HB52" s="128"/>
      <c r="HC52" s="128"/>
      <c r="HD52" s="128"/>
      <c r="HE52" s="128"/>
      <c r="HF52" s="128"/>
      <c r="HG52" s="128"/>
      <c r="HH52" s="128"/>
      <c r="HI52" s="128"/>
      <c r="HJ52" s="128"/>
      <c r="HK52" s="128"/>
      <c r="HL52" s="128"/>
      <c r="HM52" s="128"/>
      <c r="HN52" s="128"/>
      <c r="HO52" s="128"/>
      <c r="HP52" s="128"/>
      <c r="HQ52" s="128"/>
      <c r="HR52" s="128"/>
      <c r="HS52" s="128"/>
      <c r="HT52" s="128"/>
      <c r="HU52" s="128"/>
      <c r="HV52" s="128"/>
      <c r="HW52" s="128"/>
      <c r="HX52" s="128"/>
      <c r="HY52" s="128"/>
      <c r="HZ52" s="128"/>
      <c r="IA52" s="128"/>
      <c r="IB52" s="128"/>
      <c r="IC52" s="128"/>
      <c r="ID52" s="128"/>
      <c r="IE52" s="128"/>
      <c r="IF52" s="128"/>
      <c r="IG52" s="128"/>
      <c r="IH52" s="128"/>
      <c r="II52" s="128"/>
      <c r="IJ52" s="128"/>
      <c r="IK52" s="128"/>
      <c r="IL52" s="128"/>
      <c r="IM52" s="128"/>
      <c r="IN52" s="128"/>
      <c r="IO52" s="128"/>
      <c r="IP52" s="128"/>
      <c r="IQ52" s="128"/>
      <c r="IR52" s="128"/>
      <c r="IS52" s="128"/>
      <c r="IT52" s="128"/>
      <c r="IU52" s="128"/>
      <c r="IV52" s="128"/>
      <c r="IW52" s="128"/>
      <c r="IX52" s="128"/>
      <c r="IY52" s="128"/>
      <c r="IZ52" s="128"/>
      <c r="JA52" s="128"/>
      <c r="JB52" s="128"/>
      <c r="JC52" s="128"/>
      <c r="JD52" s="128"/>
      <c r="JE52" s="128"/>
      <c r="JF52" s="128"/>
      <c r="JG52" s="128"/>
      <c r="JH52" s="128"/>
      <c r="JI52" s="128"/>
      <c r="JJ52" s="128"/>
      <c r="JK52" s="128"/>
      <c r="JL52" s="128"/>
      <c r="JM52" s="128"/>
      <c r="JN52" s="128"/>
      <c r="JO52" s="128"/>
      <c r="JP52" s="128"/>
      <c r="JQ52" s="128"/>
      <c r="JR52" s="128"/>
      <c r="JS52" s="128"/>
      <c r="JT52" s="128"/>
      <c r="JU52" s="128"/>
      <c r="JV52" s="128"/>
      <c r="JW52" s="128"/>
      <c r="JX52" s="128"/>
      <c r="JY52" s="128"/>
      <c r="JZ52" s="128"/>
      <c r="KA52" s="128"/>
      <c r="KB52" s="128"/>
      <c r="KC52" s="128"/>
      <c r="KD52" s="128"/>
      <c r="KE52" s="128"/>
      <c r="KF52" s="128"/>
      <c r="KG52" s="128"/>
      <c r="KH52" s="128"/>
      <c r="KI52" s="128"/>
      <c r="KJ52" s="128"/>
      <c r="KK52" s="128"/>
      <c r="KL52" s="128"/>
      <c r="KM52" s="128"/>
      <c r="KN52" s="128"/>
      <c r="KO52" s="128"/>
      <c r="KP52" s="128"/>
      <c r="KQ52" s="128"/>
      <c r="KR52" s="128"/>
      <c r="KS52" s="128"/>
      <c r="KT52" s="128"/>
      <c r="KU52" s="128"/>
      <c r="KV52" s="128"/>
      <c r="KW52" s="128"/>
      <c r="KX52" s="128"/>
      <c r="KY52" s="128"/>
      <c r="KZ52" s="128"/>
      <c r="LA52" s="128"/>
      <c r="LB52" s="128"/>
      <c r="LC52" s="128"/>
      <c r="LD52" s="128"/>
      <c r="LE52" s="128"/>
      <c r="LF52" s="128"/>
      <c r="LG52" s="128"/>
      <c r="LH52" s="128"/>
      <c r="LI52" s="128"/>
      <c r="LJ52" s="128"/>
      <c r="LK52" s="128"/>
      <c r="LL52" s="128"/>
      <c r="LM52" s="128"/>
      <c r="LN52" s="128"/>
      <c r="LO52" s="128"/>
      <c r="LP52" s="128"/>
      <c r="LQ52" s="128"/>
      <c r="LR52" s="128"/>
      <c r="LS52" s="128"/>
      <c r="LT52" s="128"/>
      <c r="LU52" s="128"/>
      <c r="LV52" s="128"/>
      <c r="LW52" s="128"/>
      <c r="LX52" s="128"/>
      <c r="LY52" s="128"/>
      <c r="LZ52" s="128"/>
      <c r="MA52" s="128"/>
      <c r="MB52" s="128"/>
      <c r="MC52" s="128"/>
      <c r="MD52" s="128"/>
      <c r="ME52" s="128"/>
      <c r="MF52" s="128"/>
      <c r="MG52" s="128"/>
      <c r="MH52" s="128"/>
      <c r="MI52" s="128"/>
      <c r="MJ52" s="128"/>
      <c r="MK52" s="128"/>
      <c r="ML52" s="128"/>
      <c r="MM52" s="128"/>
      <c r="MN52" s="128"/>
      <c r="MO52" s="128"/>
      <c r="MP52" s="128"/>
      <c r="MQ52" s="128"/>
      <c r="MR52" s="128"/>
      <c r="MS52" s="128"/>
      <c r="MT52" s="128"/>
      <c r="MU52" s="128"/>
      <c r="MV52" s="128"/>
      <c r="MW52" s="128"/>
      <c r="MX52" s="128"/>
      <c r="MY52" s="128"/>
      <c r="MZ52" s="128"/>
      <c r="NA52" s="128"/>
      <c r="NB52" s="128"/>
      <c r="NC52" s="128"/>
      <c r="ND52" s="128"/>
      <c r="NE52" s="128"/>
      <c r="NF52" s="128"/>
      <c r="NG52" s="128"/>
      <c r="NH52" s="128"/>
      <c r="NI52" s="128"/>
      <c r="NJ52" s="128"/>
      <c r="NK52" s="128"/>
      <c r="NL52" s="128"/>
      <c r="NM52" s="128"/>
      <c r="NN52" s="128"/>
      <c r="NO52" s="128"/>
      <c r="NP52" s="128"/>
      <c r="NQ52" s="128"/>
      <c r="NR52" s="128"/>
      <c r="NS52" s="128"/>
      <c r="NT52" s="128"/>
      <c r="NU52" s="128"/>
      <c r="NV52" s="128"/>
      <c r="NW52" s="128"/>
      <c r="NX52" s="128"/>
      <c r="NY52" s="128"/>
      <c r="NZ52" s="128"/>
      <c r="OA52" s="128"/>
      <c r="OB52" s="128"/>
      <c r="OC52" s="128"/>
      <c r="OD52" s="128"/>
      <c r="OE52" s="128"/>
      <c r="OF52" s="128"/>
      <c r="OG52" s="128"/>
      <c r="OH52" s="128"/>
      <c r="OI52" s="128"/>
      <c r="OJ52" s="128"/>
      <c r="OK52" s="128"/>
      <c r="OL52" s="128"/>
      <c r="OM52" s="128"/>
      <c r="ON52" s="128"/>
      <c r="OO52" s="128"/>
      <c r="OP52" s="128"/>
      <c r="OQ52" s="128"/>
      <c r="OR52" s="128"/>
      <c r="OS52" s="128"/>
      <c r="OT52" s="128"/>
      <c r="OU52" s="128"/>
      <c r="OV52" s="128"/>
      <c r="OW52" s="128"/>
      <c r="OX52" s="128"/>
      <c r="OY52" s="128"/>
      <c r="OZ52" s="128"/>
      <c r="PA52" s="128"/>
      <c r="PB52" s="128"/>
      <c r="PC52" s="128"/>
      <c r="PD52" s="128"/>
      <c r="PE52" s="128"/>
      <c r="PF52" s="128"/>
      <c r="PG52" s="128"/>
      <c r="PH52" s="128"/>
      <c r="PI52" s="128"/>
      <c r="PJ52" s="128"/>
      <c r="PK52" s="128"/>
      <c r="PL52" s="128"/>
      <c r="PM52" s="128"/>
      <c r="PN52" s="128"/>
      <c r="PO52" s="128"/>
      <c r="PP52" s="128"/>
      <c r="PQ52" s="128"/>
      <c r="PR52" s="128"/>
      <c r="PS52" s="128"/>
      <c r="PT52" s="128"/>
      <c r="PU52" s="128"/>
      <c r="PV52" s="128"/>
      <c r="PW52" s="128"/>
      <c r="PX52" s="128"/>
      <c r="PY52" s="128"/>
      <c r="PZ52" s="128"/>
      <c r="QA52" s="128"/>
      <c r="QB52" s="128"/>
      <c r="QC52" s="128"/>
      <c r="QD52" s="129"/>
    </row>
    <row r="53" spans="1:446" x14ac:dyDescent="0.2">
      <c r="A53" s="32"/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W53" s="15"/>
      <c r="Y53" s="45" t="str">
        <f t="shared" si="69"/>
        <v>1030</v>
      </c>
      <c r="Z53" s="38">
        <v>10</v>
      </c>
      <c r="AA53" s="51">
        <v>11</v>
      </c>
      <c r="AB53" s="38">
        <v>30</v>
      </c>
      <c r="AC53" s="51">
        <v>33</v>
      </c>
      <c r="AP53" s="17"/>
      <c r="AR53" s="127">
        <v>30</v>
      </c>
      <c r="AS53" s="127">
        <v>10</v>
      </c>
      <c r="AT53" s="127"/>
      <c r="AU53" s="128"/>
      <c r="AV53" s="128"/>
      <c r="AW53" s="128"/>
      <c r="AX53" s="128">
        <v>1</v>
      </c>
      <c r="AY53" s="128"/>
      <c r="AZ53" s="128"/>
      <c r="BA53" s="128">
        <v>1</v>
      </c>
      <c r="BB53" s="128"/>
      <c r="BC53" s="128"/>
      <c r="BD53" s="128"/>
      <c r="BE53" s="128"/>
      <c r="BF53" s="128"/>
      <c r="BG53" s="128"/>
      <c r="BH53" s="128"/>
      <c r="BI53" s="128"/>
      <c r="BJ53" s="128"/>
      <c r="BK53" s="128"/>
      <c r="BL53" s="128"/>
      <c r="BM53" s="128"/>
      <c r="BN53" s="128"/>
      <c r="BO53" s="128"/>
      <c r="BP53" s="128"/>
      <c r="BQ53" s="128"/>
      <c r="BR53" s="128"/>
      <c r="BS53" s="128"/>
      <c r="BT53" s="128"/>
      <c r="BU53" s="128"/>
      <c r="BV53" s="128"/>
      <c r="BW53" s="128"/>
      <c r="BX53" s="128"/>
      <c r="BY53" s="128"/>
      <c r="BZ53" s="128"/>
      <c r="CA53" s="128"/>
      <c r="CB53" s="128"/>
      <c r="CC53" s="128"/>
      <c r="CD53" s="128"/>
      <c r="CE53" s="128"/>
      <c r="CF53" s="128"/>
      <c r="CG53" s="128"/>
      <c r="CH53" s="128"/>
      <c r="CI53" s="128"/>
      <c r="CJ53" s="128"/>
      <c r="CK53" s="128"/>
      <c r="CL53" s="128"/>
      <c r="CM53" s="128"/>
      <c r="CN53" s="128"/>
      <c r="CO53" s="128"/>
      <c r="CP53" s="128"/>
      <c r="CQ53" s="128"/>
      <c r="CR53" s="128"/>
      <c r="CS53" s="128"/>
      <c r="CT53" s="128"/>
      <c r="CU53" s="128"/>
      <c r="CV53" s="128"/>
      <c r="CW53" s="128"/>
      <c r="CX53" s="128"/>
      <c r="CY53" s="128"/>
      <c r="CZ53" s="128"/>
      <c r="DA53" s="128"/>
      <c r="DB53" s="128"/>
      <c r="DC53" s="128"/>
      <c r="DD53" s="128"/>
      <c r="DE53" s="128"/>
      <c r="DF53" s="128"/>
      <c r="DG53" s="128"/>
      <c r="DH53" s="128"/>
      <c r="DI53" s="128"/>
      <c r="DJ53" s="128"/>
      <c r="DK53" s="128"/>
      <c r="DL53" s="128"/>
      <c r="DM53" s="128"/>
      <c r="DN53" s="128"/>
      <c r="DO53" s="128"/>
      <c r="DP53" s="128"/>
      <c r="DQ53" s="128"/>
      <c r="DR53" s="128"/>
      <c r="DS53" s="128"/>
      <c r="DT53" s="128"/>
      <c r="DU53" s="128"/>
      <c r="DV53" s="128"/>
      <c r="DW53" s="128"/>
      <c r="DX53" s="128"/>
      <c r="DY53" s="128"/>
      <c r="DZ53" s="128"/>
      <c r="EA53" s="128"/>
      <c r="EB53" s="128"/>
      <c r="EC53" s="128"/>
      <c r="ED53" s="128"/>
      <c r="EE53" s="128"/>
      <c r="EF53" s="128"/>
      <c r="EG53" s="128"/>
      <c r="EH53" s="128"/>
      <c r="EI53" s="128"/>
      <c r="EJ53" s="128"/>
      <c r="EK53" s="128"/>
      <c r="EL53" s="128"/>
      <c r="EM53" s="128"/>
      <c r="EN53" s="128"/>
      <c r="EO53" s="128"/>
      <c r="EP53" s="128"/>
      <c r="EQ53" s="128"/>
      <c r="ER53" s="128"/>
      <c r="ES53" s="128"/>
      <c r="ET53" s="128"/>
      <c r="EU53" s="128"/>
      <c r="EV53" s="128"/>
      <c r="EW53" s="128"/>
      <c r="EX53" s="128"/>
      <c r="EY53" s="128"/>
      <c r="EZ53" s="128"/>
      <c r="FA53" s="128"/>
      <c r="FB53" s="128"/>
      <c r="FC53" s="128"/>
      <c r="FD53" s="128"/>
      <c r="FE53" s="128"/>
      <c r="FF53" s="128"/>
      <c r="FG53" s="128"/>
      <c r="FH53" s="128"/>
      <c r="FI53" s="128"/>
      <c r="FJ53" s="128"/>
      <c r="FK53" s="128"/>
      <c r="FL53" s="128"/>
      <c r="FM53" s="128"/>
      <c r="FN53" s="128"/>
      <c r="FO53" s="128"/>
      <c r="FP53" s="128"/>
      <c r="FQ53" s="128"/>
      <c r="FR53" s="128"/>
      <c r="FS53" s="128"/>
      <c r="FT53" s="128"/>
      <c r="FU53" s="128"/>
      <c r="FV53" s="128"/>
      <c r="FW53" s="128"/>
      <c r="FX53" s="128"/>
      <c r="FY53" s="128"/>
      <c r="FZ53" s="128"/>
      <c r="GA53" s="128"/>
      <c r="GB53" s="128"/>
      <c r="GC53" s="128"/>
      <c r="GD53" s="128"/>
      <c r="GE53" s="128"/>
      <c r="GF53" s="128"/>
      <c r="GG53" s="128"/>
      <c r="GH53" s="128"/>
      <c r="GI53" s="128"/>
      <c r="GJ53" s="128"/>
      <c r="GK53" s="128"/>
      <c r="GL53" s="128"/>
      <c r="GM53" s="128"/>
      <c r="GN53" s="128"/>
      <c r="GO53" s="128"/>
      <c r="GP53" s="128"/>
      <c r="GQ53" s="128"/>
      <c r="GR53" s="128"/>
      <c r="GS53" s="128"/>
      <c r="GT53" s="128"/>
      <c r="GU53" s="128"/>
      <c r="GV53" s="128"/>
      <c r="GW53" s="128"/>
      <c r="GX53" s="128"/>
      <c r="GY53" s="128"/>
      <c r="GZ53" s="128"/>
      <c r="HA53" s="128"/>
      <c r="HB53" s="128"/>
      <c r="HC53" s="128"/>
      <c r="HD53" s="128"/>
      <c r="HE53" s="128"/>
      <c r="HF53" s="128"/>
      <c r="HG53" s="128"/>
      <c r="HH53" s="128"/>
      <c r="HI53" s="128"/>
      <c r="HJ53" s="128"/>
      <c r="HK53" s="128"/>
      <c r="HL53" s="128"/>
      <c r="HM53" s="128"/>
      <c r="HN53" s="128"/>
      <c r="HO53" s="128"/>
      <c r="HP53" s="128"/>
      <c r="HQ53" s="128"/>
      <c r="HR53" s="128"/>
      <c r="HS53" s="128"/>
      <c r="HT53" s="128"/>
      <c r="HU53" s="128"/>
      <c r="HV53" s="128"/>
      <c r="HW53" s="128"/>
      <c r="HX53" s="128"/>
      <c r="HY53" s="128"/>
      <c r="HZ53" s="128"/>
      <c r="IA53" s="128"/>
      <c r="IB53" s="128"/>
      <c r="IC53" s="128"/>
      <c r="ID53" s="128"/>
      <c r="IE53" s="128"/>
      <c r="IF53" s="128"/>
      <c r="IG53" s="128"/>
      <c r="IH53" s="128"/>
      <c r="II53" s="128"/>
      <c r="IJ53" s="128"/>
      <c r="IK53" s="128"/>
      <c r="IL53" s="128"/>
      <c r="IM53" s="128"/>
      <c r="IN53" s="128"/>
      <c r="IO53" s="128"/>
      <c r="IP53" s="128"/>
      <c r="IQ53" s="128"/>
      <c r="IR53" s="128"/>
      <c r="IS53" s="128"/>
      <c r="IT53" s="128"/>
      <c r="IU53" s="128"/>
      <c r="IV53" s="128"/>
      <c r="IW53" s="128"/>
      <c r="IX53" s="128"/>
      <c r="IY53" s="128"/>
      <c r="IZ53" s="128"/>
      <c r="JA53" s="128"/>
      <c r="JB53" s="128"/>
      <c r="JC53" s="128"/>
      <c r="JD53" s="128"/>
      <c r="JE53" s="128"/>
      <c r="JF53" s="128"/>
      <c r="JG53" s="128"/>
      <c r="JH53" s="128"/>
      <c r="JI53" s="128"/>
      <c r="JJ53" s="128"/>
      <c r="JK53" s="128"/>
      <c r="JL53" s="128"/>
      <c r="JM53" s="128"/>
      <c r="JN53" s="128"/>
      <c r="JO53" s="128"/>
      <c r="JP53" s="128"/>
      <c r="JQ53" s="128"/>
      <c r="JR53" s="128"/>
      <c r="JS53" s="128"/>
      <c r="JT53" s="128"/>
      <c r="JU53" s="128"/>
      <c r="JV53" s="128"/>
      <c r="JW53" s="128"/>
      <c r="JX53" s="128"/>
      <c r="JY53" s="128"/>
      <c r="JZ53" s="128"/>
      <c r="KA53" s="128"/>
      <c r="KB53" s="128"/>
      <c r="KC53" s="128"/>
      <c r="KD53" s="128"/>
      <c r="KE53" s="128"/>
      <c r="KF53" s="128"/>
      <c r="KG53" s="128"/>
      <c r="KH53" s="128"/>
      <c r="KI53" s="128"/>
      <c r="KJ53" s="128"/>
      <c r="KK53" s="128"/>
      <c r="KL53" s="128"/>
      <c r="KM53" s="128"/>
      <c r="KN53" s="128"/>
      <c r="KO53" s="128"/>
      <c r="KP53" s="128"/>
      <c r="KQ53" s="128"/>
      <c r="KR53" s="128"/>
      <c r="KS53" s="128"/>
      <c r="KT53" s="128"/>
      <c r="KU53" s="128"/>
      <c r="KV53" s="128"/>
      <c r="KW53" s="128"/>
      <c r="KX53" s="128"/>
      <c r="KY53" s="128"/>
      <c r="KZ53" s="128"/>
      <c r="LA53" s="128"/>
      <c r="LB53" s="128"/>
      <c r="LC53" s="128"/>
      <c r="LD53" s="128"/>
      <c r="LE53" s="128"/>
      <c r="LF53" s="128"/>
      <c r="LG53" s="128"/>
      <c r="LH53" s="128"/>
      <c r="LI53" s="128"/>
      <c r="LJ53" s="128"/>
      <c r="LK53" s="128"/>
      <c r="LL53" s="128"/>
      <c r="LM53" s="128"/>
      <c r="LN53" s="128"/>
      <c r="LO53" s="128"/>
      <c r="LP53" s="128"/>
      <c r="LQ53" s="128"/>
      <c r="LR53" s="128"/>
      <c r="LS53" s="128"/>
      <c r="LT53" s="128"/>
      <c r="LU53" s="128"/>
      <c r="LV53" s="128"/>
      <c r="LW53" s="128"/>
      <c r="LX53" s="128"/>
      <c r="LY53" s="128"/>
      <c r="LZ53" s="128"/>
      <c r="MA53" s="128"/>
      <c r="MB53" s="128"/>
      <c r="MC53" s="128"/>
      <c r="MD53" s="128"/>
      <c r="ME53" s="128"/>
      <c r="MF53" s="128"/>
      <c r="MG53" s="128"/>
      <c r="MH53" s="128"/>
      <c r="MI53" s="128"/>
      <c r="MJ53" s="128"/>
      <c r="MK53" s="128"/>
      <c r="ML53" s="128"/>
      <c r="MM53" s="128"/>
      <c r="MN53" s="128"/>
      <c r="MO53" s="128"/>
      <c r="MP53" s="128"/>
      <c r="MQ53" s="128"/>
      <c r="MR53" s="128"/>
      <c r="MS53" s="128"/>
      <c r="MT53" s="128"/>
      <c r="MU53" s="128"/>
      <c r="MV53" s="128"/>
      <c r="MW53" s="128"/>
      <c r="MX53" s="128"/>
      <c r="MY53" s="128"/>
      <c r="MZ53" s="128"/>
      <c r="NA53" s="128"/>
      <c r="NB53" s="128"/>
      <c r="NC53" s="128"/>
      <c r="ND53" s="128"/>
      <c r="NE53" s="128"/>
      <c r="NF53" s="128"/>
      <c r="NG53" s="128"/>
      <c r="NH53" s="128"/>
      <c r="NI53" s="128"/>
      <c r="NJ53" s="128"/>
      <c r="NK53" s="128"/>
      <c r="NL53" s="128"/>
      <c r="NM53" s="128"/>
      <c r="NN53" s="128"/>
      <c r="NO53" s="128"/>
      <c r="NP53" s="128"/>
      <c r="NQ53" s="128"/>
      <c r="NR53" s="128"/>
      <c r="NS53" s="128"/>
      <c r="NT53" s="128"/>
      <c r="NU53" s="128"/>
      <c r="NV53" s="128"/>
      <c r="NW53" s="128"/>
      <c r="NX53" s="128"/>
      <c r="NY53" s="128"/>
      <c r="NZ53" s="128"/>
      <c r="OA53" s="128"/>
      <c r="OB53" s="128"/>
      <c r="OC53" s="128"/>
      <c r="OD53" s="128"/>
      <c r="OE53" s="128"/>
      <c r="OF53" s="128"/>
      <c r="OG53" s="128"/>
      <c r="OH53" s="128"/>
      <c r="OI53" s="128"/>
      <c r="OJ53" s="128"/>
      <c r="OK53" s="128"/>
      <c r="OL53" s="128"/>
      <c r="OM53" s="128"/>
      <c r="ON53" s="128"/>
      <c r="OO53" s="128"/>
      <c r="OP53" s="128"/>
      <c r="OQ53" s="128"/>
      <c r="OR53" s="128"/>
      <c r="OS53" s="128"/>
      <c r="OT53" s="128"/>
      <c r="OU53" s="128"/>
      <c r="OV53" s="128"/>
      <c r="OW53" s="128"/>
      <c r="OX53" s="128"/>
      <c r="OY53" s="128"/>
      <c r="OZ53" s="128"/>
      <c r="PA53" s="128"/>
      <c r="PB53" s="128"/>
      <c r="PC53" s="128"/>
      <c r="PD53" s="128"/>
      <c r="PE53" s="128"/>
      <c r="PF53" s="128"/>
      <c r="PG53" s="128"/>
      <c r="PH53" s="128"/>
      <c r="PI53" s="128"/>
      <c r="PJ53" s="128"/>
      <c r="PK53" s="128"/>
      <c r="PL53" s="128"/>
      <c r="PM53" s="128"/>
      <c r="PN53" s="128"/>
      <c r="PO53" s="128"/>
      <c r="PP53" s="128"/>
      <c r="PQ53" s="128"/>
      <c r="PR53" s="128"/>
      <c r="PS53" s="128"/>
      <c r="PT53" s="128"/>
      <c r="PU53" s="128"/>
      <c r="PV53" s="128"/>
      <c r="PW53" s="128"/>
      <c r="PX53" s="128"/>
      <c r="PY53" s="128"/>
      <c r="PZ53" s="128"/>
      <c r="QA53" s="128"/>
      <c r="QB53" s="128"/>
      <c r="QC53" s="128"/>
      <c r="QD53" s="129"/>
    </row>
    <row r="54" spans="1:446" x14ac:dyDescent="0.2">
      <c r="A54" s="32"/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W54" s="15"/>
      <c r="Y54" s="45" t="str">
        <f t="shared" si="69"/>
        <v>1040</v>
      </c>
      <c r="Z54" s="38">
        <v>10</v>
      </c>
      <c r="AA54" s="51">
        <v>11</v>
      </c>
      <c r="AB54" s="38">
        <v>40</v>
      </c>
      <c r="AC54" s="51"/>
      <c r="AR54" s="130"/>
      <c r="AS54" s="131">
        <v>20</v>
      </c>
      <c r="AT54" s="131"/>
      <c r="BA54" s="2">
        <v>1</v>
      </c>
      <c r="QD54" s="132"/>
    </row>
    <row r="55" spans="1:446" x14ac:dyDescent="0.2">
      <c r="A55" s="32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W55" s="15"/>
      <c r="Y55" s="45" t="str">
        <f t="shared" si="69"/>
        <v>1050</v>
      </c>
      <c r="Z55" s="38">
        <v>10</v>
      </c>
      <c r="AA55" s="51">
        <v>11</v>
      </c>
      <c r="AB55" s="38">
        <v>50</v>
      </c>
      <c r="AC55" s="51"/>
      <c r="AR55" s="130"/>
      <c r="AS55" s="131">
        <v>40</v>
      </c>
      <c r="AT55" s="131"/>
      <c r="AU55" s="2">
        <v>1</v>
      </c>
      <c r="QD55" s="132"/>
    </row>
    <row r="56" spans="1:446" x14ac:dyDescent="0.2">
      <c r="A56" s="32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W56" s="15"/>
      <c r="Y56" s="45" t="str">
        <f t="shared" si="69"/>
        <v>2010</v>
      </c>
      <c r="Z56" s="34">
        <v>20</v>
      </c>
      <c r="AA56" s="52"/>
      <c r="AB56" s="34">
        <v>10</v>
      </c>
      <c r="AC56" s="52">
        <v>11</v>
      </c>
      <c r="AR56" s="127">
        <v>40</v>
      </c>
      <c r="AS56" s="127">
        <v>10</v>
      </c>
      <c r="AT56" s="127">
        <v>1</v>
      </c>
      <c r="AU56" s="128"/>
      <c r="AV56" s="128"/>
      <c r="AW56" s="128"/>
      <c r="AX56" s="128"/>
      <c r="AY56" s="128"/>
      <c r="AZ56" s="128"/>
      <c r="BA56" s="128"/>
      <c r="BB56" s="128"/>
      <c r="BC56" s="128"/>
      <c r="BD56" s="128"/>
      <c r="BE56" s="128"/>
      <c r="BF56" s="128"/>
      <c r="BG56" s="128"/>
      <c r="BH56" s="128"/>
      <c r="BI56" s="128"/>
      <c r="BJ56" s="128"/>
      <c r="BK56" s="128"/>
      <c r="BL56" s="128"/>
      <c r="BM56" s="128"/>
      <c r="BN56" s="128"/>
      <c r="BO56" s="128"/>
      <c r="BP56" s="128"/>
      <c r="BQ56" s="128"/>
      <c r="BR56" s="128"/>
      <c r="BS56" s="128"/>
      <c r="BT56" s="128"/>
      <c r="BU56" s="128"/>
      <c r="BV56" s="128"/>
      <c r="BW56" s="128"/>
      <c r="BX56" s="128"/>
      <c r="BY56" s="128"/>
      <c r="BZ56" s="128"/>
      <c r="CA56" s="128"/>
      <c r="CB56" s="128"/>
      <c r="CC56" s="128"/>
      <c r="CD56" s="128"/>
      <c r="CE56" s="128"/>
      <c r="CF56" s="128"/>
      <c r="CG56" s="128"/>
      <c r="CH56" s="128"/>
      <c r="CI56" s="128"/>
      <c r="CJ56" s="128"/>
      <c r="CK56" s="128"/>
      <c r="CL56" s="128"/>
      <c r="CM56" s="128"/>
      <c r="CN56" s="128"/>
      <c r="CO56" s="128"/>
      <c r="CP56" s="128"/>
      <c r="CQ56" s="128"/>
      <c r="CR56" s="128"/>
      <c r="CS56" s="128"/>
      <c r="CT56" s="128"/>
      <c r="CU56" s="128"/>
      <c r="CV56" s="128"/>
      <c r="CW56" s="128"/>
      <c r="CX56" s="128"/>
      <c r="CY56" s="128"/>
      <c r="CZ56" s="128"/>
      <c r="DA56" s="128"/>
      <c r="DB56" s="128"/>
      <c r="DC56" s="128"/>
      <c r="DD56" s="128"/>
      <c r="DE56" s="128"/>
      <c r="DF56" s="128"/>
      <c r="DG56" s="128"/>
      <c r="DH56" s="128"/>
      <c r="DI56" s="128"/>
      <c r="DJ56" s="128"/>
      <c r="DK56" s="128"/>
      <c r="DL56" s="128"/>
      <c r="DM56" s="128"/>
      <c r="DN56" s="128"/>
      <c r="DO56" s="128"/>
      <c r="DP56" s="128"/>
      <c r="DQ56" s="128"/>
      <c r="DR56" s="128"/>
      <c r="DS56" s="128"/>
      <c r="DT56" s="128"/>
      <c r="DU56" s="128"/>
      <c r="DV56" s="128"/>
      <c r="DW56" s="128"/>
      <c r="DX56" s="128"/>
      <c r="DY56" s="128"/>
      <c r="DZ56" s="128"/>
      <c r="EA56" s="128"/>
      <c r="EB56" s="128"/>
      <c r="EC56" s="128"/>
      <c r="ED56" s="128"/>
      <c r="EE56" s="128"/>
      <c r="EF56" s="128"/>
      <c r="EG56" s="128"/>
      <c r="EH56" s="128"/>
      <c r="EI56" s="128"/>
      <c r="EJ56" s="128"/>
      <c r="EK56" s="128"/>
      <c r="EL56" s="128"/>
      <c r="EM56" s="128"/>
      <c r="EN56" s="128"/>
      <c r="EO56" s="128"/>
      <c r="EP56" s="128"/>
      <c r="EQ56" s="128"/>
      <c r="ER56" s="128"/>
      <c r="ES56" s="128"/>
      <c r="ET56" s="128"/>
      <c r="EU56" s="128"/>
      <c r="EV56" s="128"/>
      <c r="EW56" s="128"/>
      <c r="EX56" s="128"/>
      <c r="EY56" s="128"/>
      <c r="EZ56" s="128"/>
      <c r="FA56" s="128"/>
      <c r="FB56" s="128"/>
      <c r="FC56" s="128"/>
      <c r="FD56" s="128"/>
      <c r="FE56" s="128"/>
      <c r="FF56" s="128"/>
      <c r="FG56" s="128"/>
      <c r="FH56" s="128"/>
      <c r="FI56" s="128"/>
      <c r="FJ56" s="128"/>
      <c r="FK56" s="128"/>
      <c r="FL56" s="128"/>
      <c r="FM56" s="128"/>
      <c r="FN56" s="128"/>
      <c r="FO56" s="128"/>
      <c r="FP56" s="128"/>
      <c r="FQ56" s="128"/>
      <c r="FR56" s="128"/>
      <c r="FS56" s="128"/>
      <c r="FT56" s="128"/>
      <c r="FU56" s="128"/>
      <c r="FV56" s="128"/>
      <c r="FW56" s="128"/>
      <c r="FX56" s="128"/>
      <c r="FY56" s="128"/>
      <c r="FZ56" s="128"/>
      <c r="GA56" s="128"/>
      <c r="GB56" s="128"/>
      <c r="GC56" s="128"/>
      <c r="GD56" s="128"/>
      <c r="GE56" s="128"/>
      <c r="GF56" s="128"/>
      <c r="GG56" s="128"/>
      <c r="GH56" s="128"/>
      <c r="GI56" s="128"/>
      <c r="GJ56" s="128"/>
      <c r="GK56" s="128"/>
      <c r="GL56" s="128"/>
      <c r="GM56" s="128"/>
      <c r="GN56" s="128"/>
      <c r="GO56" s="128"/>
      <c r="GP56" s="128"/>
      <c r="GQ56" s="128"/>
      <c r="GR56" s="128"/>
      <c r="GS56" s="128"/>
      <c r="GT56" s="128"/>
      <c r="GU56" s="128"/>
      <c r="GV56" s="128"/>
      <c r="GW56" s="128"/>
      <c r="GX56" s="128"/>
      <c r="GY56" s="128"/>
      <c r="GZ56" s="128"/>
      <c r="HA56" s="128"/>
      <c r="HB56" s="128"/>
      <c r="HC56" s="128"/>
      <c r="HD56" s="128"/>
      <c r="HE56" s="128"/>
      <c r="HF56" s="128"/>
      <c r="HG56" s="128"/>
      <c r="HH56" s="128"/>
      <c r="HI56" s="128"/>
      <c r="HJ56" s="128"/>
      <c r="HK56" s="128"/>
      <c r="HL56" s="128"/>
      <c r="HM56" s="128"/>
      <c r="HN56" s="128"/>
      <c r="HO56" s="128"/>
      <c r="HP56" s="128"/>
      <c r="HQ56" s="128"/>
      <c r="HR56" s="128"/>
      <c r="HS56" s="128"/>
      <c r="HT56" s="128"/>
      <c r="HU56" s="128"/>
      <c r="HV56" s="128"/>
      <c r="HW56" s="128"/>
      <c r="HX56" s="128"/>
      <c r="HY56" s="128"/>
      <c r="HZ56" s="128"/>
      <c r="IA56" s="128"/>
      <c r="IB56" s="128"/>
      <c r="IC56" s="128"/>
      <c r="ID56" s="128"/>
      <c r="IE56" s="128"/>
      <c r="IF56" s="128"/>
      <c r="IG56" s="128"/>
      <c r="IH56" s="128"/>
      <c r="II56" s="128"/>
      <c r="IJ56" s="128"/>
      <c r="IK56" s="128"/>
      <c r="IL56" s="128"/>
      <c r="IM56" s="128"/>
      <c r="IN56" s="128"/>
      <c r="IO56" s="128"/>
      <c r="IP56" s="128"/>
      <c r="IQ56" s="128"/>
      <c r="IR56" s="128"/>
      <c r="IS56" s="128"/>
      <c r="IT56" s="128"/>
      <c r="IU56" s="128"/>
      <c r="IV56" s="128"/>
      <c r="IW56" s="128"/>
      <c r="IX56" s="128"/>
      <c r="IY56" s="128"/>
      <c r="IZ56" s="128"/>
      <c r="JA56" s="128"/>
      <c r="JB56" s="128"/>
      <c r="JC56" s="128"/>
      <c r="JD56" s="128"/>
      <c r="JE56" s="128"/>
      <c r="JF56" s="128"/>
      <c r="JG56" s="128"/>
      <c r="JH56" s="128"/>
      <c r="JI56" s="128"/>
      <c r="JJ56" s="128"/>
      <c r="JK56" s="128"/>
      <c r="JL56" s="128"/>
      <c r="JM56" s="128"/>
      <c r="JN56" s="128"/>
      <c r="JO56" s="128"/>
      <c r="JP56" s="128"/>
      <c r="JQ56" s="128"/>
      <c r="JR56" s="128"/>
      <c r="JS56" s="128"/>
      <c r="JT56" s="128"/>
      <c r="JU56" s="128"/>
      <c r="JV56" s="128"/>
      <c r="JW56" s="128"/>
      <c r="JX56" s="128"/>
      <c r="JY56" s="128"/>
      <c r="JZ56" s="128"/>
      <c r="KA56" s="128"/>
      <c r="KB56" s="128"/>
      <c r="KC56" s="128"/>
      <c r="KD56" s="128"/>
      <c r="KE56" s="128"/>
      <c r="KF56" s="128"/>
      <c r="KG56" s="128"/>
      <c r="KH56" s="128"/>
      <c r="KI56" s="128"/>
      <c r="KJ56" s="128"/>
      <c r="KK56" s="128"/>
      <c r="KL56" s="128"/>
      <c r="KM56" s="128"/>
      <c r="KN56" s="128"/>
      <c r="KO56" s="128"/>
      <c r="KP56" s="128"/>
      <c r="KQ56" s="128"/>
      <c r="KR56" s="128"/>
      <c r="KS56" s="128"/>
      <c r="KT56" s="128"/>
      <c r="KU56" s="128"/>
      <c r="KV56" s="128"/>
      <c r="KW56" s="128"/>
      <c r="KX56" s="128"/>
      <c r="KY56" s="128"/>
      <c r="KZ56" s="128"/>
      <c r="LA56" s="128"/>
      <c r="LB56" s="128"/>
      <c r="LC56" s="128"/>
      <c r="LD56" s="128"/>
      <c r="LE56" s="128"/>
      <c r="LF56" s="128"/>
      <c r="LG56" s="128"/>
      <c r="LH56" s="128"/>
      <c r="LI56" s="128"/>
      <c r="LJ56" s="128"/>
      <c r="LK56" s="128"/>
      <c r="LL56" s="128"/>
      <c r="LM56" s="128"/>
      <c r="LN56" s="128"/>
      <c r="LO56" s="128"/>
      <c r="LP56" s="128"/>
      <c r="LQ56" s="128"/>
      <c r="LR56" s="128"/>
      <c r="LS56" s="128"/>
      <c r="LT56" s="128"/>
      <c r="LU56" s="128"/>
      <c r="LV56" s="128"/>
      <c r="LW56" s="128"/>
      <c r="LX56" s="128"/>
      <c r="LY56" s="128"/>
      <c r="LZ56" s="128"/>
      <c r="MA56" s="128"/>
      <c r="MB56" s="128"/>
      <c r="MC56" s="128"/>
      <c r="MD56" s="128"/>
      <c r="ME56" s="128"/>
      <c r="MF56" s="128"/>
      <c r="MG56" s="128"/>
      <c r="MH56" s="128"/>
      <c r="MI56" s="128"/>
      <c r="MJ56" s="128"/>
      <c r="MK56" s="128"/>
      <c r="ML56" s="128"/>
      <c r="MM56" s="128"/>
      <c r="MN56" s="128"/>
      <c r="MO56" s="128"/>
      <c r="MP56" s="128"/>
      <c r="MQ56" s="128"/>
      <c r="MR56" s="128"/>
      <c r="MS56" s="128"/>
      <c r="MT56" s="128"/>
      <c r="MU56" s="128"/>
      <c r="MV56" s="128"/>
      <c r="MW56" s="128"/>
      <c r="MX56" s="128"/>
      <c r="MY56" s="128"/>
      <c r="MZ56" s="128"/>
      <c r="NA56" s="128"/>
      <c r="NB56" s="128"/>
      <c r="NC56" s="128"/>
      <c r="ND56" s="128"/>
      <c r="NE56" s="128"/>
      <c r="NF56" s="128"/>
      <c r="NG56" s="128"/>
      <c r="NH56" s="128"/>
      <c r="NI56" s="128"/>
      <c r="NJ56" s="128"/>
      <c r="NK56" s="128"/>
      <c r="NL56" s="128"/>
      <c r="NM56" s="128"/>
      <c r="NN56" s="128"/>
      <c r="NO56" s="128"/>
      <c r="NP56" s="128"/>
      <c r="NQ56" s="128"/>
      <c r="NR56" s="128"/>
      <c r="NS56" s="128"/>
      <c r="NT56" s="128"/>
      <c r="NU56" s="128"/>
      <c r="NV56" s="128"/>
      <c r="NW56" s="128"/>
      <c r="NX56" s="128"/>
      <c r="NY56" s="128"/>
      <c r="NZ56" s="128"/>
      <c r="OA56" s="128"/>
      <c r="OB56" s="128"/>
      <c r="OC56" s="128"/>
      <c r="OD56" s="128"/>
      <c r="OE56" s="128"/>
      <c r="OF56" s="128"/>
      <c r="OG56" s="128"/>
      <c r="OH56" s="128"/>
      <c r="OI56" s="128"/>
      <c r="OJ56" s="128"/>
      <c r="OK56" s="128"/>
      <c r="OL56" s="128"/>
      <c r="OM56" s="128"/>
      <c r="ON56" s="128"/>
      <c r="OO56" s="128"/>
      <c r="OP56" s="128"/>
      <c r="OQ56" s="128"/>
      <c r="OR56" s="128"/>
      <c r="OS56" s="128"/>
      <c r="OT56" s="128"/>
      <c r="OU56" s="128"/>
      <c r="OV56" s="128"/>
      <c r="OW56" s="128"/>
      <c r="OX56" s="128"/>
      <c r="OY56" s="128"/>
      <c r="OZ56" s="128"/>
      <c r="PA56" s="128"/>
      <c r="PB56" s="128"/>
      <c r="PC56" s="128"/>
      <c r="PD56" s="128"/>
      <c r="PE56" s="128"/>
      <c r="PF56" s="128"/>
      <c r="PG56" s="128"/>
      <c r="PH56" s="128"/>
      <c r="PI56" s="128"/>
      <c r="PJ56" s="128"/>
      <c r="PK56" s="128"/>
      <c r="PL56" s="128"/>
      <c r="PM56" s="128"/>
      <c r="PN56" s="128"/>
      <c r="PO56" s="128"/>
      <c r="PP56" s="128"/>
      <c r="PQ56" s="128"/>
      <c r="PR56" s="128"/>
      <c r="PS56" s="128"/>
      <c r="PT56" s="128"/>
      <c r="PU56" s="128"/>
      <c r="PV56" s="128"/>
      <c r="PW56" s="128"/>
      <c r="PX56" s="128"/>
      <c r="PY56" s="128"/>
      <c r="PZ56" s="128"/>
      <c r="QA56" s="128"/>
      <c r="QB56" s="128"/>
      <c r="QC56" s="128"/>
      <c r="QD56" s="129"/>
    </row>
    <row r="57" spans="1:446" x14ac:dyDescent="0.2">
      <c r="A57" s="32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W57" s="15"/>
      <c r="Y57" s="45" t="str">
        <f t="shared" si="69"/>
        <v>2020</v>
      </c>
      <c r="Z57" s="38">
        <v>20</v>
      </c>
      <c r="AA57" s="51">
        <v>20</v>
      </c>
      <c r="AB57" s="38">
        <v>20</v>
      </c>
      <c r="AC57" s="51"/>
      <c r="AR57" s="133"/>
      <c r="AS57" s="134">
        <v>40</v>
      </c>
      <c r="AT57" s="134"/>
      <c r="AU57" s="135"/>
      <c r="AV57" s="135">
        <v>1</v>
      </c>
      <c r="AW57" s="135"/>
      <c r="AX57" s="135"/>
      <c r="AY57" s="135"/>
      <c r="AZ57" s="135"/>
      <c r="BA57" s="135"/>
      <c r="BB57" s="135"/>
      <c r="BC57" s="135"/>
      <c r="BD57" s="135"/>
      <c r="BE57" s="135"/>
      <c r="BF57" s="135"/>
      <c r="BG57" s="135"/>
      <c r="BH57" s="135"/>
      <c r="BI57" s="135"/>
      <c r="BJ57" s="135"/>
      <c r="BK57" s="135"/>
      <c r="BL57" s="135"/>
      <c r="BM57" s="135"/>
      <c r="BN57" s="135"/>
      <c r="BO57" s="135"/>
      <c r="BP57" s="135"/>
      <c r="BQ57" s="135"/>
      <c r="BR57" s="135"/>
      <c r="BS57" s="135"/>
      <c r="BT57" s="135"/>
      <c r="BU57" s="135"/>
      <c r="BV57" s="135"/>
      <c r="BW57" s="135"/>
      <c r="BX57" s="135"/>
      <c r="BY57" s="135"/>
      <c r="BZ57" s="135"/>
      <c r="CA57" s="135"/>
      <c r="CB57" s="135"/>
      <c r="CC57" s="135"/>
      <c r="CD57" s="135"/>
      <c r="CE57" s="135"/>
      <c r="CF57" s="135"/>
      <c r="CG57" s="135"/>
      <c r="CH57" s="135"/>
      <c r="CI57" s="135"/>
      <c r="CJ57" s="135"/>
      <c r="CK57" s="135"/>
      <c r="CL57" s="135"/>
      <c r="CM57" s="135"/>
      <c r="CN57" s="135"/>
      <c r="CO57" s="135"/>
      <c r="CP57" s="135"/>
      <c r="CQ57" s="135"/>
      <c r="CR57" s="135"/>
      <c r="CS57" s="135"/>
      <c r="CT57" s="135"/>
      <c r="CU57" s="135"/>
      <c r="CV57" s="135"/>
      <c r="CW57" s="135"/>
      <c r="CX57" s="135"/>
      <c r="CY57" s="135"/>
      <c r="CZ57" s="135"/>
      <c r="DA57" s="135"/>
      <c r="DB57" s="135"/>
      <c r="DC57" s="135"/>
      <c r="DD57" s="135"/>
      <c r="DE57" s="135"/>
      <c r="DF57" s="135"/>
      <c r="DG57" s="135"/>
      <c r="DH57" s="135"/>
      <c r="DI57" s="135"/>
      <c r="DJ57" s="135"/>
      <c r="DK57" s="135"/>
      <c r="DL57" s="135"/>
      <c r="DM57" s="135"/>
      <c r="DN57" s="135"/>
      <c r="DO57" s="135"/>
      <c r="DP57" s="135"/>
      <c r="DQ57" s="135"/>
      <c r="DR57" s="135"/>
      <c r="DS57" s="135"/>
      <c r="DT57" s="135"/>
      <c r="DU57" s="135"/>
      <c r="DV57" s="135"/>
      <c r="DW57" s="135"/>
      <c r="DX57" s="135"/>
      <c r="DY57" s="135"/>
      <c r="DZ57" s="135"/>
      <c r="EA57" s="135"/>
      <c r="EB57" s="135"/>
      <c r="EC57" s="135"/>
      <c r="ED57" s="135"/>
      <c r="EE57" s="135"/>
      <c r="EF57" s="135"/>
      <c r="EG57" s="135"/>
      <c r="EH57" s="135"/>
      <c r="EI57" s="135"/>
      <c r="EJ57" s="135"/>
      <c r="EK57" s="135"/>
      <c r="EL57" s="135"/>
      <c r="EM57" s="135"/>
      <c r="EN57" s="135"/>
      <c r="EO57" s="135"/>
      <c r="EP57" s="135"/>
      <c r="EQ57" s="135"/>
      <c r="ER57" s="135"/>
      <c r="ES57" s="135"/>
      <c r="ET57" s="135"/>
      <c r="EU57" s="135"/>
      <c r="EV57" s="135"/>
      <c r="EW57" s="135"/>
      <c r="EX57" s="135"/>
      <c r="EY57" s="135"/>
      <c r="EZ57" s="135"/>
      <c r="FA57" s="135"/>
      <c r="FB57" s="135"/>
      <c r="FC57" s="135"/>
      <c r="FD57" s="135"/>
      <c r="FE57" s="135"/>
      <c r="FF57" s="135"/>
      <c r="FG57" s="135"/>
      <c r="FH57" s="135"/>
      <c r="FI57" s="135"/>
      <c r="FJ57" s="135"/>
      <c r="FK57" s="135"/>
      <c r="FL57" s="135"/>
      <c r="FM57" s="135"/>
      <c r="FN57" s="135"/>
      <c r="FO57" s="135"/>
      <c r="FP57" s="135"/>
      <c r="FQ57" s="135"/>
      <c r="FR57" s="135"/>
      <c r="FS57" s="135"/>
      <c r="FT57" s="135"/>
      <c r="FU57" s="135"/>
      <c r="FV57" s="135"/>
      <c r="FW57" s="135"/>
      <c r="FX57" s="135"/>
      <c r="FY57" s="135"/>
      <c r="FZ57" s="135"/>
      <c r="GA57" s="135"/>
      <c r="GB57" s="135"/>
      <c r="GC57" s="135"/>
      <c r="GD57" s="135"/>
      <c r="GE57" s="135"/>
      <c r="GF57" s="135"/>
      <c r="GG57" s="135"/>
      <c r="GH57" s="135"/>
      <c r="GI57" s="135"/>
      <c r="GJ57" s="135"/>
      <c r="GK57" s="135"/>
      <c r="GL57" s="135"/>
      <c r="GM57" s="135"/>
      <c r="GN57" s="135"/>
      <c r="GO57" s="135"/>
      <c r="GP57" s="135"/>
      <c r="GQ57" s="135"/>
      <c r="GR57" s="135"/>
      <c r="GS57" s="135"/>
      <c r="GT57" s="135"/>
      <c r="GU57" s="135"/>
      <c r="GV57" s="135"/>
      <c r="GW57" s="135"/>
      <c r="GX57" s="135"/>
      <c r="GY57" s="135"/>
      <c r="GZ57" s="135"/>
      <c r="HA57" s="135"/>
      <c r="HB57" s="135"/>
      <c r="HC57" s="135"/>
      <c r="HD57" s="135"/>
      <c r="HE57" s="135"/>
      <c r="HF57" s="135"/>
      <c r="HG57" s="135"/>
      <c r="HH57" s="135"/>
      <c r="HI57" s="135"/>
      <c r="HJ57" s="135"/>
      <c r="HK57" s="135"/>
      <c r="HL57" s="135"/>
      <c r="HM57" s="135"/>
      <c r="HN57" s="135"/>
      <c r="HO57" s="135"/>
      <c r="HP57" s="135"/>
      <c r="HQ57" s="135"/>
      <c r="HR57" s="135"/>
      <c r="HS57" s="135"/>
      <c r="HT57" s="135"/>
      <c r="HU57" s="135"/>
      <c r="HV57" s="135"/>
      <c r="HW57" s="135"/>
      <c r="HX57" s="135"/>
      <c r="HY57" s="135"/>
      <c r="HZ57" s="135"/>
      <c r="IA57" s="135"/>
      <c r="IB57" s="135"/>
      <c r="IC57" s="135"/>
      <c r="ID57" s="135"/>
      <c r="IE57" s="135"/>
      <c r="IF57" s="135"/>
      <c r="IG57" s="135"/>
      <c r="IH57" s="135"/>
      <c r="II57" s="135"/>
      <c r="IJ57" s="135"/>
      <c r="IK57" s="135"/>
      <c r="IL57" s="135"/>
      <c r="IM57" s="135"/>
      <c r="IN57" s="135"/>
      <c r="IO57" s="135"/>
      <c r="IP57" s="135"/>
      <c r="IQ57" s="135"/>
      <c r="IR57" s="135"/>
      <c r="IS57" s="135"/>
      <c r="IT57" s="135"/>
      <c r="IU57" s="135"/>
      <c r="IV57" s="135"/>
      <c r="IW57" s="135"/>
      <c r="IX57" s="135"/>
      <c r="IY57" s="135"/>
      <c r="IZ57" s="135"/>
      <c r="JA57" s="135"/>
      <c r="JB57" s="135"/>
      <c r="JC57" s="135"/>
      <c r="JD57" s="135"/>
      <c r="JE57" s="135"/>
      <c r="JF57" s="135"/>
      <c r="JG57" s="135"/>
      <c r="JH57" s="135"/>
      <c r="JI57" s="135"/>
      <c r="JJ57" s="135"/>
      <c r="JK57" s="135"/>
      <c r="JL57" s="135"/>
      <c r="JM57" s="135"/>
      <c r="JN57" s="135"/>
      <c r="JO57" s="135"/>
      <c r="JP57" s="135"/>
      <c r="JQ57" s="135"/>
      <c r="JR57" s="135"/>
      <c r="JS57" s="135"/>
      <c r="JT57" s="135"/>
      <c r="JU57" s="135"/>
      <c r="JV57" s="135"/>
      <c r="JW57" s="135"/>
      <c r="JX57" s="135"/>
      <c r="JY57" s="135"/>
      <c r="JZ57" s="135"/>
      <c r="KA57" s="135"/>
      <c r="KB57" s="135"/>
      <c r="KC57" s="135"/>
      <c r="KD57" s="135"/>
      <c r="KE57" s="135"/>
      <c r="KF57" s="135"/>
      <c r="KG57" s="135"/>
      <c r="KH57" s="135"/>
      <c r="KI57" s="135"/>
      <c r="KJ57" s="135"/>
      <c r="KK57" s="135"/>
      <c r="KL57" s="135"/>
      <c r="KM57" s="135"/>
      <c r="KN57" s="135"/>
      <c r="KO57" s="135"/>
      <c r="KP57" s="135"/>
      <c r="KQ57" s="135"/>
      <c r="KR57" s="135"/>
      <c r="KS57" s="135"/>
      <c r="KT57" s="135"/>
      <c r="KU57" s="135"/>
      <c r="KV57" s="135"/>
      <c r="KW57" s="135"/>
      <c r="KX57" s="135"/>
      <c r="KY57" s="135"/>
      <c r="KZ57" s="135"/>
      <c r="LA57" s="135"/>
      <c r="LB57" s="135"/>
      <c r="LC57" s="135"/>
      <c r="LD57" s="135"/>
      <c r="LE57" s="135"/>
      <c r="LF57" s="135"/>
      <c r="LG57" s="135"/>
      <c r="LH57" s="135"/>
      <c r="LI57" s="135"/>
      <c r="LJ57" s="135"/>
      <c r="LK57" s="135"/>
      <c r="LL57" s="135"/>
      <c r="LM57" s="135"/>
      <c r="LN57" s="135"/>
      <c r="LO57" s="135"/>
      <c r="LP57" s="135"/>
      <c r="LQ57" s="135"/>
      <c r="LR57" s="135"/>
      <c r="LS57" s="135"/>
      <c r="LT57" s="135"/>
      <c r="LU57" s="135"/>
      <c r="LV57" s="135"/>
      <c r="LW57" s="135"/>
      <c r="LX57" s="135"/>
      <c r="LY57" s="135"/>
      <c r="LZ57" s="135"/>
      <c r="MA57" s="135"/>
      <c r="MB57" s="135"/>
      <c r="MC57" s="135"/>
      <c r="MD57" s="135"/>
      <c r="ME57" s="135"/>
      <c r="MF57" s="135"/>
      <c r="MG57" s="135"/>
      <c r="MH57" s="135"/>
      <c r="MI57" s="135"/>
      <c r="MJ57" s="135"/>
      <c r="MK57" s="135"/>
      <c r="ML57" s="135"/>
      <c r="MM57" s="135"/>
      <c r="MN57" s="135"/>
      <c r="MO57" s="135"/>
      <c r="MP57" s="135"/>
      <c r="MQ57" s="135"/>
      <c r="MR57" s="135"/>
      <c r="MS57" s="135"/>
      <c r="MT57" s="135"/>
      <c r="MU57" s="135"/>
      <c r="MV57" s="135"/>
      <c r="MW57" s="135"/>
      <c r="MX57" s="135"/>
      <c r="MY57" s="135"/>
      <c r="MZ57" s="135"/>
      <c r="NA57" s="135"/>
      <c r="NB57" s="135"/>
      <c r="NC57" s="135"/>
      <c r="ND57" s="135"/>
      <c r="NE57" s="135"/>
      <c r="NF57" s="135"/>
      <c r="NG57" s="135"/>
      <c r="NH57" s="135"/>
      <c r="NI57" s="135"/>
      <c r="NJ57" s="135"/>
      <c r="NK57" s="135"/>
      <c r="NL57" s="135"/>
      <c r="NM57" s="135"/>
      <c r="NN57" s="135"/>
      <c r="NO57" s="135"/>
      <c r="NP57" s="135"/>
      <c r="NQ57" s="135"/>
      <c r="NR57" s="135"/>
      <c r="NS57" s="135"/>
      <c r="NT57" s="135"/>
      <c r="NU57" s="135"/>
      <c r="NV57" s="135"/>
      <c r="NW57" s="135"/>
      <c r="NX57" s="135"/>
      <c r="NY57" s="135"/>
      <c r="NZ57" s="135"/>
      <c r="OA57" s="135"/>
      <c r="OB57" s="135"/>
      <c r="OC57" s="135"/>
      <c r="OD57" s="135"/>
      <c r="OE57" s="135"/>
      <c r="OF57" s="135"/>
      <c r="OG57" s="135"/>
      <c r="OH57" s="135"/>
      <c r="OI57" s="135"/>
      <c r="OJ57" s="135"/>
      <c r="OK57" s="135"/>
      <c r="OL57" s="135"/>
      <c r="OM57" s="135"/>
      <c r="ON57" s="135"/>
      <c r="OO57" s="135"/>
      <c r="OP57" s="135"/>
      <c r="OQ57" s="135"/>
      <c r="OR57" s="135"/>
      <c r="OS57" s="135"/>
      <c r="OT57" s="135"/>
      <c r="OU57" s="135"/>
      <c r="OV57" s="135"/>
      <c r="OW57" s="135"/>
      <c r="OX57" s="135"/>
      <c r="OY57" s="135"/>
      <c r="OZ57" s="135"/>
      <c r="PA57" s="135"/>
      <c r="PB57" s="135"/>
      <c r="PC57" s="135"/>
      <c r="PD57" s="135"/>
      <c r="PE57" s="135"/>
      <c r="PF57" s="135"/>
      <c r="PG57" s="135"/>
      <c r="PH57" s="135"/>
      <c r="PI57" s="135"/>
      <c r="PJ57" s="135"/>
      <c r="PK57" s="135"/>
      <c r="PL57" s="135"/>
      <c r="PM57" s="135"/>
      <c r="PN57" s="135"/>
      <c r="PO57" s="135"/>
      <c r="PP57" s="135"/>
      <c r="PQ57" s="135"/>
      <c r="PR57" s="135"/>
      <c r="PS57" s="135"/>
      <c r="PT57" s="135"/>
      <c r="PU57" s="135"/>
      <c r="PV57" s="135"/>
      <c r="PW57" s="135"/>
      <c r="PX57" s="135"/>
      <c r="PY57" s="135"/>
      <c r="PZ57" s="135"/>
      <c r="QA57" s="135"/>
      <c r="QB57" s="135"/>
      <c r="QC57" s="135"/>
      <c r="QD57" s="136"/>
    </row>
    <row r="58" spans="1:446" ht="14.4" x14ac:dyDescent="0.3">
      <c r="A58" s="32"/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W58" s="15"/>
      <c r="Y58" s="45" t="str">
        <f t="shared" si="69"/>
        <v>2030</v>
      </c>
      <c r="Z58" s="38">
        <v>20</v>
      </c>
      <c r="AA58" s="51"/>
      <c r="AB58" s="38">
        <v>30</v>
      </c>
      <c r="AC58" s="51">
        <v>33</v>
      </c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</row>
    <row r="59" spans="1:446" ht="14.4" x14ac:dyDescent="0.3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W59" s="15"/>
      <c r="Y59" s="45" t="str">
        <f t="shared" si="69"/>
        <v>2040</v>
      </c>
      <c r="Z59" s="38">
        <v>20</v>
      </c>
      <c r="AA59" s="51"/>
      <c r="AB59" s="38">
        <v>40</v>
      </c>
      <c r="AC59" s="51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</row>
    <row r="60" spans="1:446" ht="14.4" x14ac:dyDescent="0.3">
      <c r="A60" s="32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W60" s="15"/>
      <c r="Y60" s="45" t="str">
        <f t="shared" si="69"/>
        <v>2050</v>
      </c>
      <c r="Z60" s="38">
        <v>20</v>
      </c>
      <c r="AA60" s="51"/>
      <c r="AB60" s="38">
        <v>50</v>
      </c>
      <c r="AC60" s="51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</row>
    <row r="61" spans="1:446" ht="14.4" x14ac:dyDescent="0.3">
      <c r="W61" s="15"/>
      <c r="Y61" s="45" t="str">
        <f t="shared" si="69"/>
        <v>3010</v>
      </c>
      <c r="Z61" s="34">
        <v>30</v>
      </c>
      <c r="AA61" s="52"/>
      <c r="AB61" s="34">
        <v>10</v>
      </c>
      <c r="AC61" s="52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</row>
    <row r="62" spans="1:446" ht="14.4" x14ac:dyDescent="0.3">
      <c r="Y62" s="45" t="str">
        <f t="shared" si="69"/>
        <v>3020</v>
      </c>
      <c r="Z62" s="38">
        <v>30</v>
      </c>
      <c r="AA62" s="51">
        <v>31</v>
      </c>
      <c r="AB62" s="38">
        <v>20</v>
      </c>
      <c r="AC62" s="51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</row>
    <row r="63" spans="1:446" ht="14.4" x14ac:dyDescent="0.3">
      <c r="Y63" s="45" t="str">
        <f t="shared" si="69"/>
        <v>3030</v>
      </c>
      <c r="Z63" s="38">
        <v>30</v>
      </c>
      <c r="AA63" s="51"/>
      <c r="AB63" s="38">
        <v>30</v>
      </c>
      <c r="AC63" s="51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</row>
    <row r="64" spans="1:446" ht="14.4" x14ac:dyDescent="0.3">
      <c r="Y64" s="45" t="str">
        <f t="shared" si="69"/>
        <v>3040</v>
      </c>
      <c r="Z64" s="38">
        <v>30</v>
      </c>
      <c r="AA64" s="51"/>
      <c r="AB64" s="38">
        <v>40</v>
      </c>
      <c r="AC64" s="51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</row>
    <row r="65" spans="25:446" ht="14.4" x14ac:dyDescent="0.3">
      <c r="Y65" s="45" t="str">
        <f t="shared" si="69"/>
        <v>3050</v>
      </c>
      <c r="Z65" s="42">
        <v>30</v>
      </c>
      <c r="AA65" s="53"/>
      <c r="AB65" s="42">
        <v>50</v>
      </c>
      <c r="AC65" s="53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</row>
    <row r="66" spans="25:446" ht="14.4" x14ac:dyDescent="0.3">
      <c r="Y66" s="45" t="str">
        <f t="shared" si="69"/>
        <v>4010</v>
      </c>
      <c r="Z66" s="34">
        <v>40</v>
      </c>
      <c r="AA66" s="52"/>
      <c r="AB66" s="34">
        <v>10</v>
      </c>
      <c r="AC66" s="52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</row>
    <row r="67" spans="25:446" x14ac:dyDescent="0.2">
      <c r="Y67" s="45" t="str">
        <f t="shared" si="69"/>
        <v>4020</v>
      </c>
      <c r="Z67" s="38">
        <v>40</v>
      </c>
      <c r="AA67" s="51"/>
      <c r="AB67" s="38">
        <v>20</v>
      </c>
      <c r="AC67" s="51"/>
    </row>
    <row r="68" spans="25:446" x14ac:dyDescent="0.2">
      <c r="Y68" s="45" t="str">
        <f t="shared" si="69"/>
        <v>4030</v>
      </c>
      <c r="Z68" s="38">
        <v>40</v>
      </c>
      <c r="AA68" s="51"/>
      <c r="AB68" s="38">
        <v>30</v>
      </c>
      <c r="AC68" s="51"/>
    </row>
    <row r="69" spans="25:446" x14ac:dyDescent="0.2">
      <c r="Y69" s="45" t="str">
        <f t="shared" si="69"/>
        <v>4040</v>
      </c>
      <c r="Z69" s="38">
        <v>40</v>
      </c>
      <c r="AA69" s="51"/>
      <c r="AB69" s="38">
        <v>40</v>
      </c>
      <c r="AC69" s="51"/>
    </row>
    <row r="70" spans="25:446" x14ac:dyDescent="0.2">
      <c r="Y70" s="45" t="str">
        <f t="shared" si="69"/>
        <v>4050</v>
      </c>
      <c r="Z70" s="42">
        <v>40</v>
      </c>
      <c r="AA70" s="53"/>
      <c r="AB70" s="42">
        <v>50</v>
      </c>
      <c r="AC70" s="53"/>
    </row>
    <row r="71" spans="25:446" x14ac:dyDescent="0.2">
      <c r="Y71" s="45" t="str">
        <f t="shared" si="69"/>
        <v>5010</v>
      </c>
      <c r="Z71" s="38">
        <v>50</v>
      </c>
      <c r="AA71" s="51"/>
      <c r="AB71" s="38">
        <v>10</v>
      </c>
      <c r="AC71" s="51"/>
    </row>
    <row r="72" spans="25:446" x14ac:dyDescent="0.2">
      <c r="Y72" s="45" t="str">
        <f t="shared" si="69"/>
        <v>5020</v>
      </c>
      <c r="Z72" s="38">
        <v>50</v>
      </c>
      <c r="AA72" s="51"/>
      <c r="AB72" s="38">
        <v>20</v>
      </c>
      <c r="AC72" s="51"/>
    </row>
    <row r="73" spans="25:446" x14ac:dyDescent="0.2">
      <c r="Y73" s="45" t="str">
        <f t="shared" si="69"/>
        <v>5030</v>
      </c>
      <c r="Z73" s="38">
        <v>50</v>
      </c>
      <c r="AA73" s="51"/>
      <c r="AB73" s="38">
        <v>30</v>
      </c>
      <c r="AC73" s="51"/>
    </row>
    <row r="74" spans="25:446" x14ac:dyDescent="0.2">
      <c r="Y74" s="45" t="str">
        <f t="shared" si="69"/>
        <v>5040</v>
      </c>
      <c r="Z74" s="38">
        <v>50</v>
      </c>
      <c r="AA74" s="51"/>
      <c r="AB74" s="38">
        <v>40</v>
      </c>
      <c r="AC74" s="51"/>
    </row>
    <row r="75" spans="25:446" x14ac:dyDescent="0.2">
      <c r="Y75" s="45" t="str">
        <f t="shared" si="69"/>
        <v>5050</v>
      </c>
      <c r="Z75" s="42">
        <v>50</v>
      </c>
      <c r="AA75" s="53"/>
      <c r="AB75" s="42">
        <v>50</v>
      </c>
      <c r="AC75" s="53"/>
    </row>
  </sheetData>
  <pageMargins left="0.39370078740157483" right="0.39370078740157483" top="0.39370078740157483" bottom="0.39370078740157483" header="0.51181102362204722" footer="0.51181102362204722"/>
  <pageSetup paperSize="9" scale="80" orientation="landscape" horizontalDpi="200" verticalDpi="2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83820</xdr:colOff>
                    <xdr:row>61</xdr:row>
                    <xdr:rowOff>76200</xdr:rowOff>
                  </from>
                  <to>
                    <xdr:col>7</xdr:col>
                    <xdr:colOff>228600</xdr:colOff>
                    <xdr:row>66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I114"/>
  <sheetViews>
    <sheetView zoomScale="90" zoomScaleNormal="90" workbookViewId="0">
      <selection activeCell="A3" sqref="A3"/>
    </sheetView>
  </sheetViews>
  <sheetFormatPr defaultRowHeight="13.2" x14ac:dyDescent="0.25"/>
  <cols>
    <col min="1" max="1" width="2.33203125" style="92" customWidth="1"/>
    <col min="2" max="2" width="7.33203125" style="92" customWidth="1"/>
    <col min="3" max="3" width="63.109375" style="91" customWidth="1"/>
    <col min="4" max="4" width="31.6640625" style="92" bestFit="1" customWidth="1"/>
    <col min="5" max="5" width="3.77734375" style="92" customWidth="1"/>
    <col min="6" max="251" width="9.109375" style="92"/>
    <col min="252" max="252" width="5.6640625" style="92" customWidth="1"/>
    <col min="253" max="253" width="7.33203125" style="92" customWidth="1"/>
    <col min="254" max="254" width="15.88671875" style="92" customWidth="1"/>
    <col min="255" max="255" width="17.109375" style="92" customWidth="1"/>
    <col min="256" max="256" width="30.33203125" style="92" customWidth="1"/>
    <col min="257" max="257" width="2.33203125" style="92" customWidth="1"/>
    <col min="258" max="258" width="7.33203125" style="92" customWidth="1"/>
    <col min="259" max="259" width="57.44140625" style="92" customWidth="1"/>
    <col min="260" max="260" width="36.5546875" style="92" customWidth="1"/>
    <col min="261" max="507" width="9.109375" style="92"/>
    <col min="508" max="508" width="5.6640625" style="92" customWidth="1"/>
    <col min="509" max="509" width="7.33203125" style="92" customWidth="1"/>
    <col min="510" max="510" width="15.88671875" style="92" customWidth="1"/>
    <col min="511" max="511" width="17.109375" style="92" customWidth="1"/>
    <col min="512" max="512" width="30.33203125" style="92" customWidth="1"/>
    <col min="513" max="513" width="2.33203125" style="92" customWidth="1"/>
    <col min="514" max="514" width="7.33203125" style="92" customWidth="1"/>
    <col min="515" max="515" width="57.44140625" style="92" customWidth="1"/>
    <col min="516" max="516" width="36.5546875" style="92" customWidth="1"/>
    <col min="517" max="763" width="9.109375" style="92"/>
    <col min="764" max="764" width="5.6640625" style="92" customWidth="1"/>
    <col min="765" max="765" width="7.33203125" style="92" customWidth="1"/>
    <col min="766" max="766" width="15.88671875" style="92" customWidth="1"/>
    <col min="767" max="767" width="17.109375" style="92" customWidth="1"/>
    <col min="768" max="768" width="30.33203125" style="92" customWidth="1"/>
    <col min="769" max="769" width="2.33203125" style="92" customWidth="1"/>
    <col min="770" max="770" width="7.33203125" style="92" customWidth="1"/>
    <col min="771" max="771" width="57.44140625" style="92" customWidth="1"/>
    <col min="772" max="772" width="36.5546875" style="92" customWidth="1"/>
    <col min="773" max="1019" width="9.109375" style="92"/>
    <col min="1020" max="1020" width="5.6640625" style="92" customWidth="1"/>
    <col min="1021" max="1021" width="7.33203125" style="92" customWidth="1"/>
    <col min="1022" max="1022" width="15.88671875" style="92" customWidth="1"/>
    <col min="1023" max="1023" width="17.109375" style="92" customWidth="1"/>
    <col min="1024" max="1024" width="30.33203125" style="92" customWidth="1"/>
    <col min="1025" max="1025" width="2.33203125" style="92" customWidth="1"/>
    <col min="1026" max="1026" width="7.33203125" style="92" customWidth="1"/>
    <col min="1027" max="1027" width="57.44140625" style="92" customWidth="1"/>
    <col min="1028" max="1028" width="36.5546875" style="92" customWidth="1"/>
    <col min="1029" max="1275" width="9.109375" style="92"/>
    <col min="1276" max="1276" width="5.6640625" style="92" customWidth="1"/>
    <col min="1277" max="1277" width="7.33203125" style="92" customWidth="1"/>
    <col min="1278" max="1278" width="15.88671875" style="92" customWidth="1"/>
    <col min="1279" max="1279" width="17.109375" style="92" customWidth="1"/>
    <col min="1280" max="1280" width="30.33203125" style="92" customWidth="1"/>
    <col min="1281" max="1281" width="2.33203125" style="92" customWidth="1"/>
    <col min="1282" max="1282" width="7.33203125" style="92" customWidth="1"/>
    <col min="1283" max="1283" width="57.44140625" style="92" customWidth="1"/>
    <col min="1284" max="1284" width="36.5546875" style="92" customWidth="1"/>
    <col min="1285" max="1531" width="9.109375" style="92"/>
    <col min="1532" max="1532" width="5.6640625" style="92" customWidth="1"/>
    <col min="1533" max="1533" width="7.33203125" style="92" customWidth="1"/>
    <col min="1534" max="1534" width="15.88671875" style="92" customWidth="1"/>
    <col min="1535" max="1535" width="17.109375" style="92" customWidth="1"/>
    <col min="1536" max="1536" width="30.33203125" style="92" customWidth="1"/>
    <col min="1537" max="1537" width="2.33203125" style="92" customWidth="1"/>
    <col min="1538" max="1538" width="7.33203125" style="92" customWidth="1"/>
    <col min="1539" max="1539" width="57.44140625" style="92" customWidth="1"/>
    <col min="1540" max="1540" width="36.5546875" style="92" customWidth="1"/>
    <col min="1541" max="1787" width="9.109375" style="92"/>
    <col min="1788" max="1788" width="5.6640625" style="92" customWidth="1"/>
    <col min="1789" max="1789" width="7.33203125" style="92" customWidth="1"/>
    <col min="1790" max="1790" width="15.88671875" style="92" customWidth="1"/>
    <col min="1791" max="1791" width="17.109375" style="92" customWidth="1"/>
    <col min="1792" max="1792" width="30.33203125" style="92" customWidth="1"/>
    <col min="1793" max="1793" width="2.33203125" style="92" customWidth="1"/>
    <col min="1794" max="1794" width="7.33203125" style="92" customWidth="1"/>
    <col min="1795" max="1795" width="57.44140625" style="92" customWidth="1"/>
    <col min="1796" max="1796" width="36.5546875" style="92" customWidth="1"/>
    <col min="1797" max="2043" width="9.109375" style="92"/>
    <col min="2044" max="2044" width="5.6640625" style="92" customWidth="1"/>
    <col min="2045" max="2045" width="7.33203125" style="92" customWidth="1"/>
    <col min="2046" max="2046" width="15.88671875" style="92" customWidth="1"/>
    <col min="2047" max="2047" width="17.109375" style="92" customWidth="1"/>
    <col min="2048" max="2048" width="30.33203125" style="92" customWidth="1"/>
    <col min="2049" max="2049" width="2.33203125" style="92" customWidth="1"/>
    <col min="2050" max="2050" width="7.33203125" style="92" customWidth="1"/>
    <col min="2051" max="2051" width="57.44140625" style="92" customWidth="1"/>
    <col min="2052" max="2052" width="36.5546875" style="92" customWidth="1"/>
    <col min="2053" max="2299" width="9.109375" style="92"/>
    <col min="2300" max="2300" width="5.6640625" style="92" customWidth="1"/>
    <col min="2301" max="2301" width="7.33203125" style="92" customWidth="1"/>
    <col min="2302" max="2302" width="15.88671875" style="92" customWidth="1"/>
    <col min="2303" max="2303" width="17.109375" style="92" customWidth="1"/>
    <col min="2304" max="2304" width="30.33203125" style="92" customWidth="1"/>
    <col min="2305" max="2305" width="2.33203125" style="92" customWidth="1"/>
    <col min="2306" max="2306" width="7.33203125" style="92" customWidth="1"/>
    <col min="2307" max="2307" width="57.44140625" style="92" customWidth="1"/>
    <col min="2308" max="2308" width="36.5546875" style="92" customWidth="1"/>
    <col min="2309" max="2555" width="9.109375" style="92"/>
    <col min="2556" max="2556" width="5.6640625" style="92" customWidth="1"/>
    <col min="2557" max="2557" width="7.33203125" style="92" customWidth="1"/>
    <col min="2558" max="2558" width="15.88671875" style="92" customWidth="1"/>
    <col min="2559" max="2559" width="17.109375" style="92" customWidth="1"/>
    <col min="2560" max="2560" width="30.33203125" style="92" customWidth="1"/>
    <col min="2561" max="2561" width="2.33203125" style="92" customWidth="1"/>
    <col min="2562" max="2562" width="7.33203125" style="92" customWidth="1"/>
    <col min="2563" max="2563" width="57.44140625" style="92" customWidth="1"/>
    <col min="2564" max="2564" width="36.5546875" style="92" customWidth="1"/>
    <col min="2565" max="2811" width="9.109375" style="92"/>
    <col min="2812" max="2812" width="5.6640625" style="92" customWidth="1"/>
    <col min="2813" max="2813" width="7.33203125" style="92" customWidth="1"/>
    <col min="2814" max="2814" width="15.88671875" style="92" customWidth="1"/>
    <col min="2815" max="2815" width="17.109375" style="92" customWidth="1"/>
    <col min="2816" max="2816" width="30.33203125" style="92" customWidth="1"/>
    <col min="2817" max="2817" width="2.33203125" style="92" customWidth="1"/>
    <col min="2818" max="2818" width="7.33203125" style="92" customWidth="1"/>
    <col min="2819" max="2819" width="57.44140625" style="92" customWidth="1"/>
    <col min="2820" max="2820" width="36.5546875" style="92" customWidth="1"/>
    <col min="2821" max="3067" width="9.109375" style="92"/>
    <col min="3068" max="3068" width="5.6640625" style="92" customWidth="1"/>
    <col min="3069" max="3069" width="7.33203125" style="92" customWidth="1"/>
    <col min="3070" max="3070" width="15.88671875" style="92" customWidth="1"/>
    <col min="3071" max="3071" width="17.109375" style="92" customWidth="1"/>
    <col min="3072" max="3072" width="30.33203125" style="92" customWidth="1"/>
    <col min="3073" max="3073" width="2.33203125" style="92" customWidth="1"/>
    <col min="3074" max="3074" width="7.33203125" style="92" customWidth="1"/>
    <col min="3075" max="3075" width="57.44140625" style="92" customWidth="1"/>
    <col min="3076" max="3076" width="36.5546875" style="92" customWidth="1"/>
    <col min="3077" max="3323" width="9.109375" style="92"/>
    <col min="3324" max="3324" width="5.6640625" style="92" customWidth="1"/>
    <col min="3325" max="3325" width="7.33203125" style="92" customWidth="1"/>
    <col min="3326" max="3326" width="15.88671875" style="92" customWidth="1"/>
    <col min="3327" max="3327" width="17.109375" style="92" customWidth="1"/>
    <col min="3328" max="3328" width="30.33203125" style="92" customWidth="1"/>
    <col min="3329" max="3329" width="2.33203125" style="92" customWidth="1"/>
    <col min="3330" max="3330" width="7.33203125" style="92" customWidth="1"/>
    <col min="3331" max="3331" width="57.44140625" style="92" customWidth="1"/>
    <col min="3332" max="3332" width="36.5546875" style="92" customWidth="1"/>
    <col min="3333" max="3579" width="9.109375" style="92"/>
    <col min="3580" max="3580" width="5.6640625" style="92" customWidth="1"/>
    <col min="3581" max="3581" width="7.33203125" style="92" customWidth="1"/>
    <col min="3582" max="3582" width="15.88671875" style="92" customWidth="1"/>
    <col min="3583" max="3583" width="17.109375" style="92" customWidth="1"/>
    <col min="3584" max="3584" width="30.33203125" style="92" customWidth="1"/>
    <col min="3585" max="3585" width="2.33203125" style="92" customWidth="1"/>
    <col min="3586" max="3586" width="7.33203125" style="92" customWidth="1"/>
    <col min="3587" max="3587" width="57.44140625" style="92" customWidth="1"/>
    <col min="3588" max="3588" width="36.5546875" style="92" customWidth="1"/>
    <col min="3589" max="3835" width="9.109375" style="92"/>
    <col min="3836" max="3836" width="5.6640625" style="92" customWidth="1"/>
    <col min="3837" max="3837" width="7.33203125" style="92" customWidth="1"/>
    <col min="3838" max="3838" width="15.88671875" style="92" customWidth="1"/>
    <col min="3839" max="3839" width="17.109375" style="92" customWidth="1"/>
    <col min="3840" max="3840" width="30.33203125" style="92" customWidth="1"/>
    <col min="3841" max="3841" width="2.33203125" style="92" customWidth="1"/>
    <col min="3842" max="3842" width="7.33203125" style="92" customWidth="1"/>
    <col min="3843" max="3843" width="57.44140625" style="92" customWidth="1"/>
    <col min="3844" max="3844" width="36.5546875" style="92" customWidth="1"/>
    <col min="3845" max="4091" width="9.109375" style="92"/>
    <col min="4092" max="4092" width="5.6640625" style="92" customWidth="1"/>
    <col min="4093" max="4093" width="7.33203125" style="92" customWidth="1"/>
    <col min="4094" max="4094" width="15.88671875" style="92" customWidth="1"/>
    <col min="4095" max="4095" width="17.109375" style="92" customWidth="1"/>
    <col min="4096" max="4096" width="30.33203125" style="92" customWidth="1"/>
    <col min="4097" max="4097" width="2.33203125" style="92" customWidth="1"/>
    <col min="4098" max="4098" width="7.33203125" style="92" customWidth="1"/>
    <col min="4099" max="4099" width="57.44140625" style="92" customWidth="1"/>
    <col min="4100" max="4100" width="36.5546875" style="92" customWidth="1"/>
    <col min="4101" max="4347" width="9.109375" style="92"/>
    <col min="4348" max="4348" width="5.6640625" style="92" customWidth="1"/>
    <col min="4349" max="4349" width="7.33203125" style="92" customWidth="1"/>
    <col min="4350" max="4350" width="15.88671875" style="92" customWidth="1"/>
    <col min="4351" max="4351" width="17.109375" style="92" customWidth="1"/>
    <col min="4352" max="4352" width="30.33203125" style="92" customWidth="1"/>
    <col min="4353" max="4353" width="2.33203125" style="92" customWidth="1"/>
    <col min="4354" max="4354" width="7.33203125" style="92" customWidth="1"/>
    <col min="4355" max="4355" width="57.44140625" style="92" customWidth="1"/>
    <col min="4356" max="4356" width="36.5546875" style="92" customWidth="1"/>
    <col min="4357" max="4603" width="9.109375" style="92"/>
    <col min="4604" max="4604" width="5.6640625" style="92" customWidth="1"/>
    <col min="4605" max="4605" width="7.33203125" style="92" customWidth="1"/>
    <col min="4606" max="4606" width="15.88671875" style="92" customWidth="1"/>
    <col min="4607" max="4607" width="17.109375" style="92" customWidth="1"/>
    <col min="4608" max="4608" width="30.33203125" style="92" customWidth="1"/>
    <col min="4609" max="4609" width="2.33203125" style="92" customWidth="1"/>
    <col min="4610" max="4610" width="7.33203125" style="92" customWidth="1"/>
    <col min="4611" max="4611" width="57.44140625" style="92" customWidth="1"/>
    <col min="4612" max="4612" width="36.5546875" style="92" customWidth="1"/>
    <col min="4613" max="4859" width="9.109375" style="92"/>
    <col min="4860" max="4860" width="5.6640625" style="92" customWidth="1"/>
    <col min="4861" max="4861" width="7.33203125" style="92" customWidth="1"/>
    <col min="4862" max="4862" width="15.88671875" style="92" customWidth="1"/>
    <col min="4863" max="4863" width="17.109375" style="92" customWidth="1"/>
    <col min="4864" max="4864" width="30.33203125" style="92" customWidth="1"/>
    <col min="4865" max="4865" width="2.33203125" style="92" customWidth="1"/>
    <col min="4866" max="4866" width="7.33203125" style="92" customWidth="1"/>
    <col min="4867" max="4867" width="57.44140625" style="92" customWidth="1"/>
    <col min="4868" max="4868" width="36.5546875" style="92" customWidth="1"/>
    <col min="4869" max="5115" width="9.109375" style="92"/>
    <col min="5116" max="5116" width="5.6640625" style="92" customWidth="1"/>
    <col min="5117" max="5117" width="7.33203125" style="92" customWidth="1"/>
    <col min="5118" max="5118" width="15.88671875" style="92" customWidth="1"/>
    <col min="5119" max="5119" width="17.109375" style="92" customWidth="1"/>
    <col min="5120" max="5120" width="30.33203125" style="92" customWidth="1"/>
    <col min="5121" max="5121" width="2.33203125" style="92" customWidth="1"/>
    <col min="5122" max="5122" width="7.33203125" style="92" customWidth="1"/>
    <col min="5123" max="5123" width="57.44140625" style="92" customWidth="1"/>
    <col min="5124" max="5124" width="36.5546875" style="92" customWidth="1"/>
    <col min="5125" max="5371" width="9.109375" style="92"/>
    <col min="5372" max="5372" width="5.6640625" style="92" customWidth="1"/>
    <col min="5373" max="5373" width="7.33203125" style="92" customWidth="1"/>
    <col min="5374" max="5374" width="15.88671875" style="92" customWidth="1"/>
    <col min="5375" max="5375" width="17.109375" style="92" customWidth="1"/>
    <col min="5376" max="5376" width="30.33203125" style="92" customWidth="1"/>
    <col min="5377" max="5377" width="2.33203125" style="92" customWidth="1"/>
    <col min="5378" max="5378" width="7.33203125" style="92" customWidth="1"/>
    <col min="5379" max="5379" width="57.44140625" style="92" customWidth="1"/>
    <col min="5380" max="5380" width="36.5546875" style="92" customWidth="1"/>
    <col min="5381" max="5627" width="9.109375" style="92"/>
    <col min="5628" max="5628" width="5.6640625" style="92" customWidth="1"/>
    <col min="5629" max="5629" width="7.33203125" style="92" customWidth="1"/>
    <col min="5630" max="5630" width="15.88671875" style="92" customWidth="1"/>
    <col min="5631" max="5631" width="17.109375" style="92" customWidth="1"/>
    <col min="5632" max="5632" width="30.33203125" style="92" customWidth="1"/>
    <col min="5633" max="5633" width="2.33203125" style="92" customWidth="1"/>
    <col min="5634" max="5634" width="7.33203125" style="92" customWidth="1"/>
    <col min="5635" max="5635" width="57.44140625" style="92" customWidth="1"/>
    <col min="5636" max="5636" width="36.5546875" style="92" customWidth="1"/>
    <col min="5637" max="5883" width="9.109375" style="92"/>
    <col min="5884" max="5884" width="5.6640625" style="92" customWidth="1"/>
    <col min="5885" max="5885" width="7.33203125" style="92" customWidth="1"/>
    <col min="5886" max="5886" width="15.88671875" style="92" customWidth="1"/>
    <col min="5887" max="5887" width="17.109375" style="92" customWidth="1"/>
    <col min="5888" max="5888" width="30.33203125" style="92" customWidth="1"/>
    <col min="5889" max="5889" width="2.33203125" style="92" customWidth="1"/>
    <col min="5890" max="5890" width="7.33203125" style="92" customWidth="1"/>
    <col min="5891" max="5891" width="57.44140625" style="92" customWidth="1"/>
    <col min="5892" max="5892" width="36.5546875" style="92" customWidth="1"/>
    <col min="5893" max="6139" width="9.109375" style="92"/>
    <col min="6140" max="6140" width="5.6640625" style="92" customWidth="1"/>
    <col min="6141" max="6141" width="7.33203125" style="92" customWidth="1"/>
    <col min="6142" max="6142" width="15.88671875" style="92" customWidth="1"/>
    <col min="6143" max="6143" width="17.109375" style="92" customWidth="1"/>
    <col min="6144" max="6144" width="30.33203125" style="92" customWidth="1"/>
    <col min="6145" max="6145" width="2.33203125" style="92" customWidth="1"/>
    <col min="6146" max="6146" width="7.33203125" style="92" customWidth="1"/>
    <col min="6147" max="6147" width="57.44140625" style="92" customWidth="1"/>
    <col min="6148" max="6148" width="36.5546875" style="92" customWidth="1"/>
    <col min="6149" max="6395" width="9.109375" style="92"/>
    <col min="6396" max="6396" width="5.6640625" style="92" customWidth="1"/>
    <col min="6397" max="6397" width="7.33203125" style="92" customWidth="1"/>
    <col min="6398" max="6398" width="15.88671875" style="92" customWidth="1"/>
    <col min="6399" max="6399" width="17.109375" style="92" customWidth="1"/>
    <col min="6400" max="6400" width="30.33203125" style="92" customWidth="1"/>
    <col min="6401" max="6401" width="2.33203125" style="92" customWidth="1"/>
    <col min="6402" max="6402" width="7.33203125" style="92" customWidth="1"/>
    <col min="6403" max="6403" width="57.44140625" style="92" customWidth="1"/>
    <col min="6404" max="6404" width="36.5546875" style="92" customWidth="1"/>
    <col min="6405" max="6651" width="9.109375" style="92"/>
    <col min="6652" max="6652" width="5.6640625" style="92" customWidth="1"/>
    <col min="6653" max="6653" width="7.33203125" style="92" customWidth="1"/>
    <col min="6654" max="6654" width="15.88671875" style="92" customWidth="1"/>
    <col min="6655" max="6655" width="17.109375" style="92" customWidth="1"/>
    <col min="6656" max="6656" width="30.33203125" style="92" customWidth="1"/>
    <col min="6657" max="6657" width="2.33203125" style="92" customWidth="1"/>
    <col min="6658" max="6658" width="7.33203125" style="92" customWidth="1"/>
    <col min="6659" max="6659" width="57.44140625" style="92" customWidth="1"/>
    <col min="6660" max="6660" width="36.5546875" style="92" customWidth="1"/>
    <col min="6661" max="6907" width="9.109375" style="92"/>
    <col min="6908" max="6908" width="5.6640625" style="92" customWidth="1"/>
    <col min="6909" max="6909" width="7.33203125" style="92" customWidth="1"/>
    <col min="6910" max="6910" width="15.88671875" style="92" customWidth="1"/>
    <col min="6911" max="6911" width="17.109375" style="92" customWidth="1"/>
    <col min="6912" max="6912" width="30.33203125" style="92" customWidth="1"/>
    <col min="6913" max="6913" width="2.33203125" style="92" customWidth="1"/>
    <col min="6914" max="6914" width="7.33203125" style="92" customWidth="1"/>
    <col min="6915" max="6915" width="57.44140625" style="92" customWidth="1"/>
    <col min="6916" max="6916" width="36.5546875" style="92" customWidth="1"/>
    <col min="6917" max="7163" width="9.109375" style="92"/>
    <col min="7164" max="7164" width="5.6640625" style="92" customWidth="1"/>
    <col min="7165" max="7165" width="7.33203125" style="92" customWidth="1"/>
    <col min="7166" max="7166" width="15.88671875" style="92" customWidth="1"/>
    <col min="7167" max="7167" width="17.109375" style="92" customWidth="1"/>
    <col min="7168" max="7168" width="30.33203125" style="92" customWidth="1"/>
    <col min="7169" max="7169" width="2.33203125" style="92" customWidth="1"/>
    <col min="7170" max="7170" width="7.33203125" style="92" customWidth="1"/>
    <col min="7171" max="7171" width="57.44140625" style="92" customWidth="1"/>
    <col min="7172" max="7172" width="36.5546875" style="92" customWidth="1"/>
    <col min="7173" max="7419" width="9.109375" style="92"/>
    <col min="7420" max="7420" width="5.6640625" style="92" customWidth="1"/>
    <col min="7421" max="7421" width="7.33203125" style="92" customWidth="1"/>
    <col min="7422" max="7422" width="15.88671875" style="92" customWidth="1"/>
    <col min="7423" max="7423" width="17.109375" style="92" customWidth="1"/>
    <col min="7424" max="7424" width="30.33203125" style="92" customWidth="1"/>
    <col min="7425" max="7425" width="2.33203125" style="92" customWidth="1"/>
    <col min="7426" max="7426" width="7.33203125" style="92" customWidth="1"/>
    <col min="7427" max="7427" width="57.44140625" style="92" customWidth="1"/>
    <col min="7428" max="7428" width="36.5546875" style="92" customWidth="1"/>
    <col min="7429" max="7675" width="9.109375" style="92"/>
    <col min="7676" max="7676" width="5.6640625" style="92" customWidth="1"/>
    <col min="7677" max="7677" width="7.33203125" style="92" customWidth="1"/>
    <col min="7678" max="7678" width="15.88671875" style="92" customWidth="1"/>
    <col min="7679" max="7679" width="17.109375" style="92" customWidth="1"/>
    <col min="7680" max="7680" width="30.33203125" style="92" customWidth="1"/>
    <col min="7681" max="7681" width="2.33203125" style="92" customWidth="1"/>
    <col min="7682" max="7682" width="7.33203125" style="92" customWidth="1"/>
    <col min="7683" max="7683" width="57.44140625" style="92" customWidth="1"/>
    <col min="7684" max="7684" width="36.5546875" style="92" customWidth="1"/>
    <col min="7685" max="7931" width="9.109375" style="92"/>
    <col min="7932" max="7932" width="5.6640625" style="92" customWidth="1"/>
    <col min="7933" max="7933" width="7.33203125" style="92" customWidth="1"/>
    <col min="7934" max="7934" width="15.88671875" style="92" customWidth="1"/>
    <col min="7935" max="7935" width="17.109375" style="92" customWidth="1"/>
    <col min="7936" max="7936" width="30.33203125" style="92" customWidth="1"/>
    <col min="7937" max="7937" width="2.33203125" style="92" customWidth="1"/>
    <col min="7938" max="7938" width="7.33203125" style="92" customWidth="1"/>
    <col min="7939" max="7939" width="57.44140625" style="92" customWidth="1"/>
    <col min="7940" max="7940" width="36.5546875" style="92" customWidth="1"/>
    <col min="7941" max="8187" width="9.109375" style="92"/>
    <col min="8188" max="8188" width="5.6640625" style="92" customWidth="1"/>
    <col min="8189" max="8189" width="7.33203125" style="92" customWidth="1"/>
    <col min="8190" max="8190" width="15.88671875" style="92" customWidth="1"/>
    <col min="8191" max="8191" width="17.109375" style="92" customWidth="1"/>
    <col min="8192" max="8192" width="30.33203125" style="92" customWidth="1"/>
    <col min="8193" max="8193" width="2.33203125" style="92" customWidth="1"/>
    <col min="8194" max="8194" width="7.33203125" style="92" customWidth="1"/>
    <col min="8195" max="8195" width="57.44140625" style="92" customWidth="1"/>
    <col min="8196" max="8196" width="36.5546875" style="92" customWidth="1"/>
    <col min="8197" max="8443" width="9.109375" style="92"/>
    <col min="8444" max="8444" width="5.6640625" style="92" customWidth="1"/>
    <col min="8445" max="8445" width="7.33203125" style="92" customWidth="1"/>
    <col min="8446" max="8446" width="15.88671875" style="92" customWidth="1"/>
    <col min="8447" max="8447" width="17.109375" style="92" customWidth="1"/>
    <col min="8448" max="8448" width="30.33203125" style="92" customWidth="1"/>
    <col min="8449" max="8449" width="2.33203125" style="92" customWidth="1"/>
    <col min="8450" max="8450" width="7.33203125" style="92" customWidth="1"/>
    <col min="8451" max="8451" width="57.44140625" style="92" customWidth="1"/>
    <col min="8452" max="8452" width="36.5546875" style="92" customWidth="1"/>
    <col min="8453" max="8699" width="9.109375" style="92"/>
    <col min="8700" max="8700" width="5.6640625" style="92" customWidth="1"/>
    <col min="8701" max="8701" width="7.33203125" style="92" customWidth="1"/>
    <col min="8702" max="8702" width="15.88671875" style="92" customWidth="1"/>
    <col min="8703" max="8703" width="17.109375" style="92" customWidth="1"/>
    <col min="8704" max="8704" width="30.33203125" style="92" customWidth="1"/>
    <col min="8705" max="8705" width="2.33203125" style="92" customWidth="1"/>
    <col min="8706" max="8706" width="7.33203125" style="92" customWidth="1"/>
    <col min="8707" max="8707" width="57.44140625" style="92" customWidth="1"/>
    <col min="8708" max="8708" width="36.5546875" style="92" customWidth="1"/>
    <col min="8709" max="8955" width="9.109375" style="92"/>
    <col min="8956" max="8956" width="5.6640625" style="92" customWidth="1"/>
    <col min="8957" max="8957" width="7.33203125" style="92" customWidth="1"/>
    <col min="8958" max="8958" width="15.88671875" style="92" customWidth="1"/>
    <col min="8959" max="8959" width="17.109375" style="92" customWidth="1"/>
    <col min="8960" max="8960" width="30.33203125" style="92" customWidth="1"/>
    <col min="8961" max="8961" width="2.33203125" style="92" customWidth="1"/>
    <col min="8962" max="8962" width="7.33203125" style="92" customWidth="1"/>
    <col min="8963" max="8963" width="57.44140625" style="92" customWidth="1"/>
    <col min="8964" max="8964" width="36.5546875" style="92" customWidth="1"/>
    <col min="8965" max="9211" width="9.109375" style="92"/>
    <col min="9212" max="9212" width="5.6640625" style="92" customWidth="1"/>
    <col min="9213" max="9213" width="7.33203125" style="92" customWidth="1"/>
    <col min="9214" max="9214" width="15.88671875" style="92" customWidth="1"/>
    <col min="9215" max="9215" width="17.109375" style="92" customWidth="1"/>
    <col min="9216" max="9216" width="30.33203125" style="92" customWidth="1"/>
    <col min="9217" max="9217" width="2.33203125" style="92" customWidth="1"/>
    <col min="9218" max="9218" width="7.33203125" style="92" customWidth="1"/>
    <col min="9219" max="9219" width="57.44140625" style="92" customWidth="1"/>
    <col min="9220" max="9220" width="36.5546875" style="92" customWidth="1"/>
    <col min="9221" max="9467" width="9.109375" style="92"/>
    <col min="9468" max="9468" width="5.6640625" style="92" customWidth="1"/>
    <col min="9469" max="9469" width="7.33203125" style="92" customWidth="1"/>
    <col min="9470" max="9470" width="15.88671875" style="92" customWidth="1"/>
    <col min="9471" max="9471" width="17.109375" style="92" customWidth="1"/>
    <col min="9472" max="9472" width="30.33203125" style="92" customWidth="1"/>
    <col min="9473" max="9473" width="2.33203125" style="92" customWidth="1"/>
    <col min="9474" max="9474" width="7.33203125" style="92" customWidth="1"/>
    <col min="9475" max="9475" width="57.44140625" style="92" customWidth="1"/>
    <col min="9476" max="9476" width="36.5546875" style="92" customWidth="1"/>
    <col min="9477" max="9723" width="9.109375" style="92"/>
    <col min="9724" max="9724" width="5.6640625" style="92" customWidth="1"/>
    <col min="9725" max="9725" width="7.33203125" style="92" customWidth="1"/>
    <col min="9726" max="9726" width="15.88671875" style="92" customWidth="1"/>
    <col min="9727" max="9727" width="17.109375" style="92" customWidth="1"/>
    <col min="9728" max="9728" width="30.33203125" style="92" customWidth="1"/>
    <col min="9729" max="9729" width="2.33203125" style="92" customWidth="1"/>
    <col min="9730" max="9730" width="7.33203125" style="92" customWidth="1"/>
    <col min="9731" max="9731" width="57.44140625" style="92" customWidth="1"/>
    <col min="9732" max="9732" width="36.5546875" style="92" customWidth="1"/>
    <col min="9733" max="9979" width="9.109375" style="92"/>
    <col min="9980" max="9980" width="5.6640625" style="92" customWidth="1"/>
    <col min="9981" max="9981" width="7.33203125" style="92" customWidth="1"/>
    <col min="9982" max="9982" width="15.88671875" style="92" customWidth="1"/>
    <col min="9983" max="9983" width="17.109375" style="92" customWidth="1"/>
    <col min="9984" max="9984" width="30.33203125" style="92" customWidth="1"/>
    <col min="9985" max="9985" width="2.33203125" style="92" customWidth="1"/>
    <col min="9986" max="9986" width="7.33203125" style="92" customWidth="1"/>
    <col min="9987" max="9987" width="57.44140625" style="92" customWidth="1"/>
    <col min="9988" max="9988" width="36.5546875" style="92" customWidth="1"/>
    <col min="9989" max="10235" width="9.109375" style="92"/>
    <col min="10236" max="10236" width="5.6640625" style="92" customWidth="1"/>
    <col min="10237" max="10237" width="7.33203125" style="92" customWidth="1"/>
    <col min="10238" max="10238" width="15.88671875" style="92" customWidth="1"/>
    <col min="10239" max="10239" width="17.109375" style="92" customWidth="1"/>
    <col min="10240" max="10240" width="30.33203125" style="92" customWidth="1"/>
    <col min="10241" max="10241" width="2.33203125" style="92" customWidth="1"/>
    <col min="10242" max="10242" width="7.33203125" style="92" customWidth="1"/>
    <col min="10243" max="10243" width="57.44140625" style="92" customWidth="1"/>
    <col min="10244" max="10244" width="36.5546875" style="92" customWidth="1"/>
    <col min="10245" max="10491" width="9.109375" style="92"/>
    <col min="10492" max="10492" width="5.6640625" style="92" customWidth="1"/>
    <col min="10493" max="10493" width="7.33203125" style="92" customWidth="1"/>
    <col min="10494" max="10494" width="15.88671875" style="92" customWidth="1"/>
    <col min="10495" max="10495" width="17.109375" style="92" customWidth="1"/>
    <col min="10496" max="10496" width="30.33203125" style="92" customWidth="1"/>
    <col min="10497" max="10497" width="2.33203125" style="92" customWidth="1"/>
    <col min="10498" max="10498" width="7.33203125" style="92" customWidth="1"/>
    <col min="10499" max="10499" width="57.44140625" style="92" customWidth="1"/>
    <col min="10500" max="10500" width="36.5546875" style="92" customWidth="1"/>
    <col min="10501" max="10747" width="9.109375" style="92"/>
    <col min="10748" max="10748" width="5.6640625" style="92" customWidth="1"/>
    <col min="10749" max="10749" width="7.33203125" style="92" customWidth="1"/>
    <col min="10750" max="10750" width="15.88671875" style="92" customWidth="1"/>
    <col min="10751" max="10751" width="17.109375" style="92" customWidth="1"/>
    <col min="10752" max="10752" width="30.33203125" style="92" customWidth="1"/>
    <col min="10753" max="10753" width="2.33203125" style="92" customWidth="1"/>
    <col min="10754" max="10754" width="7.33203125" style="92" customWidth="1"/>
    <col min="10755" max="10755" width="57.44140625" style="92" customWidth="1"/>
    <col min="10756" max="10756" width="36.5546875" style="92" customWidth="1"/>
    <col min="10757" max="11003" width="9.109375" style="92"/>
    <col min="11004" max="11004" width="5.6640625" style="92" customWidth="1"/>
    <col min="11005" max="11005" width="7.33203125" style="92" customWidth="1"/>
    <col min="11006" max="11006" width="15.88671875" style="92" customWidth="1"/>
    <col min="11007" max="11007" width="17.109375" style="92" customWidth="1"/>
    <col min="11008" max="11008" width="30.33203125" style="92" customWidth="1"/>
    <col min="11009" max="11009" width="2.33203125" style="92" customWidth="1"/>
    <col min="11010" max="11010" width="7.33203125" style="92" customWidth="1"/>
    <col min="11011" max="11011" width="57.44140625" style="92" customWidth="1"/>
    <col min="11012" max="11012" width="36.5546875" style="92" customWidth="1"/>
    <col min="11013" max="11259" width="9.109375" style="92"/>
    <col min="11260" max="11260" width="5.6640625" style="92" customWidth="1"/>
    <col min="11261" max="11261" width="7.33203125" style="92" customWidth="1"/>
    <col min="11262" max="11262" width="15.88671875" style="92" customWidth="1"/>
    <col min="11263" max="11263" width="17.109375" style="92" customWidth="1"/>
    <col min="11264" max="11264" width="30.33203125" style="92" customWidth="1"/>
    <col min="11265" max="11265" width="2.33203125" style="92" customWidth="1"/>
    <col min="11266" max="11266" width="7.33203125" style="92" customWidth="1"/>
    <col min="11267" max="11267" width="57.44140625" style="92" customWidth="1"/>
    <col min="11268" max="11268" width="36.5546875" style="92" customWidth="1"/>
    <col min="11269" max="11515" width="9.109375" style="92"/>
    <col min="11516" max="11516" width="5.6640625" style="92" customWidth="1"/>
    <col min="11517" max="11517" width="7.33203125" style="92" customWidth="1"/>
    <col min="11518" max="11518" width="15.88671875" style="92" customWidth="1"/>
    <col min="11519" max="11519" width="17.109375" style="92" customWidth="1"/>
    <col min="11520" max="11520" width="30.33203125" style="92" customWidth="1"/>
    <col min="11521" max="11521" width="2.33203125" style="92" customWidth="1"/>
    <col min="11522" max="11522" width="7.33203125" style="92" customWidth="1"/>
    <col min="11523" max="11523" width="57.44140625" style="92" customWidth="1"/>
    <col min="11524" max="11524" width="36.5546875" style="92" customWidth="1"/>
    <col min="11525" max="11771" width="9.109375" style="92"/>
    <col min="11772" max="11772" width="5.6640625" style="92" customWidth="1"/>
    <col min="11773" max="11773" width="7.33203125" style="92" customWidth="1"/>
    <col min="11774" max="11774" width="15.88671875" style="92" customWidth="1"/>
    <col min="11775" max="11775" width="17.109375" style="92" customWidth="1"/>
    <col min="11776" max="11776" width="30.33203125" style="92" customWidth="1"/>
    <col min="11777" max="11777" width="2.33203125" style="92" customWidth="1"/>
    <col min="11778" max="11778" width="7.33203125" style="92" customWidth="1"/>
    <col min="11779" max="11779" width="57.44140625" style="92" customWidth="1"/>
    <col min="11780" max="11780" width="36.5546875" style="92" customWidth="1"/>
    <col min="11781" max="12027" width="9.109375" style="92"/>
    <col min="12028" max="12028" width="5.6640625" style="92" customWidth="1"/>
    <col min="12029" max="12029" width="7.33203125" style="92" customWidth="1"/>
    <col min="12030" max="12030" width="15.88671875" style="92" customWidth="1"/>
    <col min="12031" max="12031" width="17.109375" style="92" customWidth="1"/>
    <col min="12032" max="12032" width="30.33203125" style="92" customWidth="1"/>
    <col min="12033" max="12033" width="2.33203125" style="92" customWidth="1"/>
    <col min="12034" max="12034" width="7.33203125" style="92" customWidth="1"/>
    <col min="12035" max="12035" width="57.44140625" style="92" customWidth="1"/>
    <col min="12036" max="12036" width="36.5546875" style="92" customWidth="1"/>
    <col min="12037" max="12283" width="9.109375" style="92"/>
    <col min="12284" max="12284" width="5.6640625" style="92" customWidth="1"/>
    <col min="12285" max="12285" width="7.33203125" style="92" customWidth="1"/>
    <col min="12286" max="12286" width="15.88671875" style="92" customWidth="1"/>
    <col min="12287" max="12287" width="17.109375" style="92" customWidth="1"/>
    <col min="12288" max="12288" width="30.33203125" style="92" customWidth="1"/>
    <col min="12289" max="12289" width="2.33203125" style="92" customWidth="1"/>
    <col min="12290" max="12290" width="7.33203125" style="92" customWidth="1"/>
    <col min="12291" max="12291" width="57.44140625" style="92" customWidth="1"/>
    <col min="12292" max="12292" width="36.5546875" style="92" customWidth="1"/>
    <col min="12293" max="12539" width="9.109375" style="92"/>
    <col min="12540" max="12540" width="5.6640625" style="92" customWidth="1"/>
    <col min="12541" max="12541" width="7.33203125" style="92" customWidth="1"/>
    <col min="12542" max="12542" width="15.88671875" style="92" customWidth="1"/>
    <col min="12543" max="12543" width="17.109375" style="92" customWidth="1"/>
    <col min="12544" max="12544" width="30.33203125" style="92" customWidth="1"/>
    <col min="12545" max="12545" width="2.33203125" style="92" customWidth="1"/>
    <col min="12546" max="12546" width="7.33203125" style="92" customWidth="1"/>
    <col min="12547" max="12547" width="57.44140625" style="92" customWidth="1"/>
    <col min="12548" max="12548" width="36.5546875" style="92" customWidth="1"/>
    <col min="12549" max="12795" width="9.109375" style="92"/>
    <col min="12796" max="12796" width="5.6640625" style="92" customWidth="1"/>
    <col min="12797" max="12797" width="7.33203125" style="92" customWidth="1"/>
    <col min="12798" max="12798" width="15.88671875" style="92" customWidth="1"/>
    <col min="12799" max="12799" width="17.109375" style="92" customWidth="1"/>
    <col min="12800" max="12800" width="30.33203125" style="92" customWidth="1"/>
    <col min="12801" max="12801" width="2.33203125" style="92" customWidth="1"/>
    <col min="12802" max="12802" width="7.33203125" style="92" customWidth="1"/>
    <col min="12803" max="12803" width="57.44140625" style="92" customWidth="1"/>
    <col min="12804" max="12804" width="36.5546875" style="92" customWidth="1"/>
    <col min="12805" max="13051" width="9.109375" style="92"/>
    <col min="13052" max="13052" width="5.6640625" style="92" customWidth="1"/>
    <col min="13053" max="13053" width="7.33203125" style="92" customWidth="1"/>
    <col min="13054" max="13054" width="15.88671875" style="92" customWidth="1"/>
    <col min="13055" max="13055" width="17.109375" style="92" customWidth="1"/>
    <col min="13056" max="13056" width="30.33203125" style="92" customWidth="1"/>
    <col min="13057" max="13057" width="2.33203125" style="92" customWidth="1"/>
    <col min="13058" max="13058" width="7.33203125" style="92" customWidth="1"/>
    <col min="13059" max="13059" width="57.44140625" style="92" customWidth="1"/>
    <col min="13060" max="13060" width="36.5546875" style="92" customWidth="1"/>
    <col min="13061" max="13307" width="9.109375" style="92"/>
    <col min="13308" max="13308" width="5.6640625" style="92" customWidth="1"/>
    <col min="13309" max="13309" width="7.33203125" style="92" customWidth="1"/>
    <col min="13310" max="13310" width="15.88671875" style="92" customWidth="1"/>
    <col min="13311" max="13311" width="17.109375" style="92" customWidth="1"/>
    <col min="13312" max="13312" width="30.33203125" style="92" customWidth="1"/>
    <col min="13313" max="13313" width="2.33203125" style="92" customWidth="1"/>
    <col min="13314" max="13314" width="7.33203125" style="92" customWidth="1"/>
    <col min="13315" max="13315" width="57.44140625" style="92" customWidth="1"/>
    <col min="13316" max="13316" width="36.5546875" style="92" customWidth="1"/>
    <col min="13317" max="13563" width="9.109375" style="92"/>
    <col min="13564" max="13564" width="5.6640625" style="92" customWidth="1"/>
    <col min="13565" max="13565" width="7.33203125" style="92" customWidth="1"/>
    <col min="13566" max="13566" width="15.88671875" style="92" customWidth="1"/>
    <col min="13567" max="13567" width="17.109375" style="92" customWidth="1"/>
    <col min="13568" max="13568" width="30.33203125" style="92" customWidth="1"/>
    <col min="13569" max="13569" width="2.33203125" style="92" customWidth="1"/>
    <col min="13570" max="13570" width="7.33203125" style="92" customWidth="1"/>
    <col min="13571" max="13571" width="57.44140625" style="92" customWidth="1"/>
    <col min="13572" max="13572" width="36.5546875" style="92" customWidth="1"/>
    <col min="13573" max="13819" width="9.109375" style="92"/>
    <col min="13820" max="13820" width="5.6640625" style="92" customWidth="1"/>
    <col min="13821" max="13821" width="7.33203125" style="92" customWidth="1"/>
    <col min="13822" max="13822" width="15.88671875" style="92" customWidth="1"/>
    <col min="13823" max="13823" width="17.109375" style="92" customWidth="1"/>
    <col min="13824" max="13824" width="30.33203125" style="92" customWidth="1"/>
    <col min="13825" max="13825" width="2.33203125" style="92" customWidth="1"/>
    <col min="13826" max="13826" width="7.33203125" style="92" customWidth="1"/>
    <col min="13827" max="13827" width="57.44140625" style="92" customWidth="1"/>
    <col min="13828" max="13828" width="36.5546875" style="92" customWidth="1"/>
    <col min="13829" max="14075" width="9.109375" style="92"/>
    <col min="14076" max="14076" width="5.6640625" style="92" customWidth="1"/>
    <col min="14077" max="14077" width="7.33203125" style="92" customWidth="1"/>
    <col min="14078" max="14078" width="15.88671875" style="92" customWidth="1"/>
    <col min="14079" max="14079" width="17.109375" style="92" customWidth="1"/>
    <col min="14080" max="14080" width="30.33203125" style="92" customWidth="1"/>
    <col min="14081" max="14081" width="2.33203125" style="92" customWidth="1"/>
    <col min="14082" max="14082" width="7.33203125" style="92" customWidth="1"/>
    <col min="14083" max="14083" width="57.44140625" style="92" customWidth="1"/>
    <col min="14084" max="14084" width="36.5546875" style="92" customWidth="1"/>
    <col min="14085" max="14331" width="9.109375" style="92"/>
    <col min="14332" max="14332" width="5.6640625" style="92" customWidth="1"/>
    <col min="14333" max="14333" width="7.33203125" style="92" customWidth="1"/>
    <col min="14334" max="14334" width="15.88671875" style="92" customWidth="1"/>
    <col min="14335" max="14335" width="17.109375" style="92" customWidth="1"/>
    <col min="14336" max="14336" width="30.33203125" style="92" customWidth="1"/>
    <col min="14337" max="14337" width="2.33203125" style="92" customWidth="1"/>
    <col min="14338" max="14338" width="7.33203125" style="92" customWidth="1"/>
    <col min="14339" max="14339" width="57.44140625" style="92" customWidth="1"/>
    <col min="14340" max="14340" width="36.5546875" style="92" customWidth="1"/>
    <col min="14341" max="14587" width="9.109375" style="92"/>
    <col min="14588" max="14588" width="5.6640625" style="92" customWidth="1"/>
    <col min="14589" max="14589" width="7.33203125" style="92" customWidth="1"/>
    <col min="14590" max="14590" width="15.88671875" style="92" customWidth="1"/>
    <col min="14591" max="14591" width="17.109375" style="92" customWidth="1"/>
    <col min="14592" max="14592" width="30.33203125" style="92" customWidth="1"/>
    <col min="14593" max="14593" width="2.33203125" style="92" customWidth="1"/>
    <col min="14594" max="14594" width="7.33203125" style="92" customWidth="1"/>
    <col min="14595" max="14595" width="57.44140625" style="92" customWidth="1"/>
    <col min="14596" max="14596" width="36.5546875" style="92" customWidth="1"/>
    <col min="14597" max="14843" width="9.109375" style="92"/>
    <col min="14844" max="14844" width="5.6640625" style="92" customWidth="1"/>
    <col min="14845" max="14845" width="7.33203125" style="92" customWidth="1"/>
    <col min="14846" max="14846" width="15.88671875" style="92" customWidth="1"/>
    <col min="14847" max="14847" width="17.109375" style="92" customWidth="1"/>
    <col min="14848" max="14848" width="30.33203125" style="92" customWidth="1"/>
    <col min="14849" max="14849" width="2.33203125" style="92" customWidth="1"/>
    <col min="14850" max="14850" width="7.33203125" style="92" customWidth="1"/>
    <col min="14851" max="14851" width="57.44140625" style="92" customWidth="1"/>
    <col min="14852" max="14852" width="36.5546875" style="92" customWidth="1"/>
    <col min="14853" max="15099" width="9.109375" style="92"/>
    <col min="15100" max="15100" width="5.6640625" style="92" customWidth="1"/>
    <col min="15101" max="15101" width="7.33203125" style="92" customWidth="1"/>
    <col min="15102" max="15102" width="15.88671875" style="92" customWidth="1"/>
    <col min="15103" max="15103" width="17.109375" style="92" customWidth="1"/>
    <col min="15104" max="15104" width="30.33203125" style="92" customWidth="1"/>
    <col min="15105" max="15105" width="2.33203125" style="92" customWidth="1"/>
    <col min="15106" max="15106" width="7.33203125" style="92" customWidth="1"/>
    <col min="15107" max="15107" width="57.44140625" style="92" customWidth="1"/>
    <col min="15108" max="15108" width="36.5546875" style="92" customWidth="1"/>
    <col min="15109" max="15355" width="9.109375" style="92"/>
    <col min="15356" max="15356" width="5.6640625" style="92" customWidth="1"/>
    <col min="15357" max="15357" width="7.33203125" style="92" customWidth="1"/>
    <col min="15358" max="15358" width="15.88671875" style="92" customWidth="1"/>
    <col min="15359" max="15359" width="17.109375" style="92" customWidth="1"/>
    <col min="15360" max="15360" width="30.33203125" style="92" customWidth="1"/>
    <col min="15361" max="15361" width="2.33203125" style="92" customWidth="1"/>
    <col min="15362" max="15362" width="7.33203125" style="92" customWidth="1"/>
    <col min="15363" max="15363" width="57.44140625" style="92" customWidth="1"/>
    <col min="15364" max="15364" width="36.5546875" style="92" customWidth="1"/>
    <col min="15365" max="15611" width="9.109375" style="92"/>
    <col min="15612" max="15612" width="5.6640625" style="92" customWidth="1"/>
    <col min="15613" max="15613" width="7.33203125" style="92" customWidth="1"/>
    <col min="15614" max="15614" width="15.88671875" style="92" customWidth="1"/>
    <col min="15615" max="15615" width="17.109375" style="92" customWidth="1"/>
    <col min="15616" max="15616" width="30.33203125" style="92" customWidth="1"/>
    <col min="15617" max="15617" width="2.33203125" style="92" customWidth="1"/>
    <col min="15618" max="15618" width="7.33203125" style="92" customWidth="1"/>
    <col min="15619" max="15619" width="57.44140625" style="92" customWidth="1"/>
    <col min="15620" max="15620" width="36.5546875" style="92" customWidth="1"/>
    <col min="15621" max="15867" width="9.109375" style="92"/>
    <col min="15868" max="15868" width="5.6640625" style="92" customWidth="1"/>
    <col min="15869" max="15869" width="7.33203125" style="92" customWidth="1"/>
    <col min="15870" max="15870" width="15.88671875" style="92" customWidth="1"/>
    <col min="15871" max="15871" width="17.109375" style="92" customWidth="1"/>
    <col min="15872" max="15872" width="30.33203125" style="92" customWidth="1"/>
    <col min="15873" max="15873" width="2.33203125" style="92" customWidth="1"/>
    <col min="15874" max="15874" width="7.33203125" style="92" customWidth="1"/>
    <col min="15875" max="15875" width="57.44140625" style="92" customWidth="1"/>
    <col min="15876" max="15876" width="36.5546875" style="92" customWidth="1"/>
    <col min="15877" max="16123" width="9.109375" style="92"/>
    <col min="16124" max="16124" width="5.6640625" style="92" customWidth="1"/>
    <col min="16125" max="16125" width="7.33203125" style="92" customWidth="1"/>
    <col min="16126" max="16126" width="15.88671875" style="92" customWidth="1"/>
    <col min="16127" max="16127" width="17.109375" style="92" customWidth="1"/>
    <col min="16128" max="16128" width="30.33203125" style="92" customWidth="1"/>
    <col min="16129" max="16129" width="2.33203125" style="92" customWidth="1"/>
    <col min="16130" max="16130" width="7.33203125" style="92" customWidth="1"/>
    <col min="16131" max="16131" width="57.44140625" style="92" customWidth="1"/>
    <col min="16132" max="16132" width="36.5546875" style="92" customWidth="1"/>
    <col min="16133" max="16379" width="9.109375" style="92"/>
    <col min="16380" max="16380" width="5.6640625" style="92" customWidth="1"/>
    <col min="16381" max="16381" width="7.33203125" style="92" customWidth="1"/>
    <col min="16382" max="16382" width="15.88671875" style="92" customWidth="1"/>
    <col min="16383" max="16383" width="17.109375" style="92" customWidth="1"/>
    <col min="16384" max="16384" width="30.33203125" style="92" customWidth="1"/>
  </cols>
  <sheetData>
    <row r="1" spans="1:9" ht="21" x14ac:dyDescent="0.4">
      <c r="A1" s="93" t="s">
        <v>81</v>
      </c>
      <c r="B1" s="91"/>
      <c r="C1" s="90"/>
    </row>
    <row r="2" spans="1:9" x14ac:dyDescent="0.25">
      <c r="A2" s="100" t="s">
        <v>82</v>
      </c>
    </row>
    <row r="3" spans="1:9" s="90" customFormat="1" ht="21" x14ac:dyDescent="0.4"/>
    <row r="4" spans="1:9" s="90" customFormat="1" ht="21" x14ac:dyDescent="0.4">
      <c r="B4" s="144" t="s">
        <v>15</v>
      </c>
      <c r="C4" s="144"/>
      <c r="D4" s="144"/>
    </row>
    <row r="5" spans="1:9" ht="27" customHeight="1" x14ac:dyDescent="0.25">
      <c r="A5" s="94"/>
      <c r="B5" s="112" t="s">
        <v>16</v>
      </c>
      <c r="C5" s="112" t="s">
        <v>17</v>
      </c>
      <c r="D5" s="112" t="s">
        <v>68</v>
      </c>
      <c r="F5" s="146" t="s">
        <v>19</v>
      </c>
      <c r="G5" s="147"/>
      <c r="H5" s="148"/>
      <c r="I5" s="112" t="s">
        <v>20</v>
      </c>
    </row>
    <row r="6" spans="1:9" x14ac:dyDescent="0.25">
      <c r="A6" s="95"/>
      <c r="B6" s="96">
        <v>10</v>
      </c>
      <c r="C6" s="97" t="s">
        <v>21</v>
      </c>
      <c r="D6" s="98" t="s">
        <v>69</v>
      </c>
      <c r="F6" s="141" t="s">
        <v>23</v>
      </c>
      <c r="G6" s="142"/>
      <c r="H6" s="143"/>
      <c r="I6" s="101">
        <v>0.25</v>
      </c>
    </row>
    <row r="7" spans="1:9" x14ac:dyDescent="0.25">
      <c r="A7" s="95"/>
      <c r="B7" s="96">
        <v>20</v>
      </c>
      <c r="C7" s="97" t="s">
        <v>22</v>
      </c>
      <c r="D7" s="98" t="s">
        <v>70</v>
      </c>
      <c r="F7" s="149" t="s">
        <v>24</v>
      </c>
      <c r="G7" s="150"/>
      <c r="H7" s="151"/>
      <c r="I7" s="101">
        <v>0.5</v>
      </c>
    </row>
    <row r="8" spans="1:9" x14ac:dyDescent="0.25">
      <c r="A8" s="95"/>
      <c r="B8" s="96">
        <v>30</v>
      </c>
      <c r="C8" s="97" t="s">
        <v>25</v>
      </c>
      <c r="D8" s="99" t="s">
        <v>72</v>
      </c>
      <c r="F8" s="141" t="s">
        <v>27</v>
      </c>
      <c r="G8" s="142"/>
      <c r="H8" s="143"/>
      <c r="I8" s="101">
        <v>0.75</v>
      </c>
    </row>
    <row r="9" spans="1:9" ht="26.4" x14ac:dyDescent="0.25">
      <c r="A9" s="95"/>
      <c r="B9" s="96">
        <v>40</v>
      </c>
      <c r="C9" s="97" t="s">
        <v>26</v>
      </c>
      <c r="D9" s="99" t="s">
        <v>71</v>
      </c>
      <c r="F9" s="141" t="s">
        <v>59</v>
      </c>
      <c r="G9" s="142"/>
      <c r="H9" s="143"/>
      <c r="I9" s="101">
        <v>1</v>
      </c>
    </row>
    <row r="10" spans="1:9" x14ac:dyDescent="0.25">
      <c r="A10" s="95"/>
    </row>
    <row r="11" spans="1:9" ht="17.399999999999999" x14ac:dyDescent="0.3">
      <c r="A11" s="95"/>
      <c r="B11" s="144" t="s">
        <v>28</v>
      </c>
      <c r="C11" s="144"/>
      <c r="D11" s="144"/>
    </row>
    <row r="12" spans="1:9" ht="27" customHeight="1" x14ac:dyDescent="0.25">
      <c r="A12" s="95"/>
      <c r="B12" s="112" t="s">
        <v>16</v>
      </c>
      <c r="C12" s="112" t="s">
        <v>17</v>
      </c>
      <c r="D12" s="112" t="s">
        <v>29</v>
      </c>
      <c r="F12" s="145" t="s">
        <v>19</v>
      </c>
      <c r="G12" s="145"/>
      <c r="H12" s="145"/>
    </row>
    <row r="13" spans="1:9" ht="26.4" x14ac:dyDescent="0.25">
      <c r="A13" s="95"/>
      <c r="B13" s="96">
        <v>10</v>
      </c>
      <c r="C13" s="97" t="s">
        <v>77</v>
      </c>
      <c r="D13" s="99" t="s">
        <v>73</v>
      </c>
      <c r="F13" s="141" t="s">
        <v>30</v>
      </c>
      <c r="G13" s="142"/>
      <c r="H13" s="143"/>
    </row>
    <row r="14" spans="1:9" ht="39.6" x14ac:dyDescent="0.25">
      <c r="A14" s="95"/>
      <c r="B14" s="96">
        <v>20</v>
      </c>
      <c r="C14" s="97" t="s">
        <v>78</v>
      </c>
      <c r="D14" s="99" t="s">
        <v>74</v>
      </c>
      <c r="F14" s="141"/>
      <c r="G14" s="142"/>
      <c r="H14" s="143"/>
    </row>
    <row r="15" spans="1:9" ht="39.6" x14ac:dyDescent="0.25">
      <c r="A15" s="95"/>
      <c r="B15" s="96">
        <v>30</v>
      </c>
      <c r="C15" s="97" t="s">
        <v>79</v>
      </c>
      <c r="D15" s="99" t="s">
        <v>75</v>
      </c>
      <c r="F15" s="141" t="s">
        <v>31</v>
      </c>
      <c r="G15" s="142"/>
      <c r="H15" s="143"/>
    </row>
    <row r="16" spans="1:9" ht="39.6" x14ac:dyDescent="0.25">
      <c r="A16" s="95"/>
      <c r="B16" s="96">
        <v>40</v>
      </c>
      <c r="C16" s="97" t="s">
        <v>80</v>
      </c>
      <c r="D16" s="99" t="s">
        <v>76</v>
      </c>
      <c r="F16" s="141"/>
      <c r="G16" s="142"/>
      <c r="H16" s="143"/>
    </row>
    <row r="17" spans="1:3" x14ac:dyDescent="0.25">
      <c r="A17" s="95"/>
    </row>
    <row r="18" spans="1:3" x14ac:dyDescent="0.25">
      <c r="A18" s="95"/>
    </row>
    <row r="19" spans="1:3" x14ac:dyDescent="0.25">
      <c r="A19" s="95"/>
    </row>
    <row r="20" spans="1:3" x14ac:dyDescent="0.25">
      <c r="A20" s="95"/>
    </row>
    <row r="21" spans="1:3" x14ac:dyDescent="0.25">
      <c r="A21" s="95"/>
    </row>
    <row r="22" spans="1:3" x14ac:dyDescent="0.25">
      <c r="A22" s="95"/>
    </row>
    <row r="23" spans="1:3" x14ac:dyDescent="0.25">
      <c r="A23" s="95"/>
    </row>
    <row r="24" spans="1:3" x14ac:dyDescent="0.25">
      <c r="A24" s="95"/>
    </row>
    <row r="25" spans="1:3" x14ac:dyDescent="0.25">
      <c r="A25" s="95"/>
    </row>
    <row r="26" spans="1:3" x14ac:dyDescent="0.25">
      <c r="A26" s="95"/>
    </row>
    <row r="27" spans="1:3" x14ac:dyDescent="0.25">
      <c r="A27" s="95"/>
    </row>
    <row r="28" spans="1:3" x14ac:dyDescent="0.25">
      <c r="A28" s="95"/>
    </row>
    <row r="29" spans="1:3" x14ac:dyDescent="0.25">
      <c r="A29" s="95"/>
    </row>
    <row r="30" spans="1:3" x14ac:dyDescent="0.25">
      <c r="A30" s="95"/>
    </row>
    <row r="31" spans="1:3" x14ac:dyDescent="0.25">
      <c r="A31" s="95"/>
      <c r="C31" s="92"/>
    </row>
    <row r="32" spans="1:3" x14ac:dyDescent="0.25">
      <c r="A32" s="95"/>
      <c r="C32" s="92"/>
    </row>
    <row r="33" spans="1:3" x14ac:dyDescent="0.25">
      <c r="A33" s="95"/>
      <c r="C33" s="92"/>
    </row>
    <row r="34" spans="1:3" x14ac:dyDescent="0.25">
      <c r="A34" s="95"/>
      <c r="C34" s="92"/>
    </row>
    <row r="35" spans="1:3" x14ac:dyDescent="0.25">
      <c r="A35" s="95"/>
      <c r="C35" s="92"/>
    </row>
    <row r="36" spans="1:3" x14ac:dyDescent="0.25">
      <c r="A36" s="95"/>
      <c r="C36" s="92"/>
    </row>
    <row r="37" spans="1:3" x14ac:dyDescent="0.25">
      <c r="A37" s="95"/>
      <c r="C37" s="92"/>
    </row>
    <row r="38" spans="1:3" x14ac:dyDescent="0.25">
      <c r="A38" s="95"/>
      <c r="C38" s="92"/>
    </row>
    <row r="39" spans="1:3" x14ac:dyDescent="0.25">
      <c r="A39" s="95"/>
      <c r="C39" s="92"/>
    </row>
    <row r="40" spans="1:3" x14ac:dyDescent="0.25">
      <c r="A40" s="95"/>
      <c r="C40" s="92"/>
    </row>
    <row r="41" spans="1:3" x14ac:dyDescent="0.25">
      <c r="A41" s="95"/>
      <c r="C41" s="92"/>
    </row>
    <row r="42" spans="1:3" x14ac:dyDescent="0.25">
      <c r="A42" s="95"/>
      <c r="C42" s="92"/>
    </row>
    <row r="43" spans="1:3" x14ac:dyDescent="0.25">
      <c r="A43" s="95"/>
      <c r="C43" s="92"/>
    </row>
    <row r="44" spans="1:3" x14ac:dyDescent="0.25">
      <c r="A44" s="95"/>
      <c r="C44" s="92"/>
    </row>
    <row r="45" spans="1:3" x14ac:dyDescent="0.25">
      <c r="A45" s="95"/>
      <c r="C45" s="92"/>
    </row>
    <row r="46" spans="1:3" x14ac:dyDescent="0.25">
      <c r="A46" s="95"/>
      <c r="C46" s="92"/>
    </row>
    <row r="47" spans="1:3" x14ac:dyDescent="0.25">
      <c r="A47" s="95"/>
      <c r="C47" s="92"/>
    </row>
    <row r="48" spans="1:3" x14ac:dyDescent="0.25">
      <c r="A48" s="95"/>
      <c r="C48" s="92"/>
    </row>
    <row r="49" spans="1:3" x14ac:dyDescent="0.25">
      <c r="A49" s="95"/>
      <c r="C49" s="92"/>
    </row>
    <row r="50" spans="1:3" x14ac:dyDescent="0.25">
      <c r="A50" s="95"/>
      <c r="C50" s="92"/>
    </row>
    <row r="51" spans="1:3" x14ac:dyDescent="0.25">
      <c r="A51" s="95"/>
      <c r="C51" s="92"/>
    </row>
    <row r="52" spans="1:3" x14ac:dyDescent="0.25">
      <c r="A52" s="95"/>
      <c r="C52" s="92"/>
    </row>
    <row r="53" spans="1:3" x14ac:dyDescent="0.25">
      <c r="A53" s="95"/>
      <c r="C53" s="92"/>
    </row>
    <row r="54" spans="1:3" x14ac:dyDescent="0.25">
      <c r="A54" s="95"/>
      <c r="C54" s="92"/>
    </row>
    <row r="55" spans="1:3" x14ac:dyDescent="0.25">
      <c r="A55" s="95"/>
      <c r="C55" s="92"/>
    </row>
    <row r="56" spans="1:3" x14ac:dyDescent="0.25">
      <c r="A56" s="95"/>
      <c r="C56" s="92"/>
    </row>
    <row r="57" spans="1:3" x14ac:dyDescent="0.25">
      <c r="A57" s="95"/>
      <c r="C57" s="92"/>
    </row>
    <row r="58" spans="1:3" x14ac:dyDescent="0.25">
      <c r="A58" s="95"/>
      <c r="C58" s="92"/>
    </row>
    <row r="59" spans="1:3" x14ac:dyDescent="0.25">
      <c r="A59" s="95"/>
      <c r="C59" s="92"/>
    </row>
    <row r="60" spans="1:3" x14ac:dyDescent="0.25">
      <c r="A60" s="95"/>
      <c r="C60" s="92"/>
    </row>
    <row r="61" spans="1:3" x14ac:dyDescent="0.25">
      <c r="A61" s="95"/>
      <c r="C61" s="92"/>
    </row>
    <row r="62" spans="1:3" x14ac:dyDescent="0.25">
      <c r="A62" s="95"/>
      <c r="C62" s="92"/>
    </row>
    <row r="63" spans="1:3" x14ac:dyDescent="0.25">
      <c r="A63" s="95"/>
      <c r="C63" s="92"/>
    </row>
    <row r="64" spans="1:3" x14ac:dyDescent="0.25">
      <c r="A64" s="95"/>
      <c r="C64" s="92"/>
    </row>
    <row r="65" spans="1:3" x14ac:dyDescent="0.25">
      <c r="A65" s="95"/>
      <c r="C65" s="92"/>
    </row>
    <row r="66" spans="1:3" x14ac:dyDescent="0.25">
      <c r="A66" s="95"/>
      <c r="C66" s="92"/>
    </row>
    <row r="67" spans="1:3" x14ac:dyDescent="0.25">
      <c r="A67" s="95"/>
      <c r="C67" s="92"/>
    </row>
    <row r="68" spans="1:3" x14ac:dyDescent="0.25">
      <c r="A68" s="95"/>
      <c r="C68" s="92"/>
    </row>
    <row r="69" spans="1:3" x14ac:dyDescent="0.25">
      <c r="A69" s="95"/>
      <c r="C69" s="92"/>
    </row>
    <row r="70" spans="1:3" x14ac:dyDescent="0.25">
      <c r="A70" s="95"/>
      <c r="C70" s="92"/>
    </row>
    <row r="71" spans="1:3" x14ac:dyDescent="0.25">
      <c r="A71" s="95"/>
      <c r="C71" s="92"/>
    </row>
    <row r="72" spans="1:3" x14ac:dyDescent="0.25">
      <c r="A72" s="95"/>
      <c r="C72" s="92"/>
    </row>
    <row r="73" spans="1:3" x14ac:dyDescent="0.25">
      <c r="A73" s="95"/>
      <c r="C73" s="92"/>
    </row>
    <row r="74" spans="1:3" x14ac:dyDescent="0.25">
      <c r="A74" s="95"/>
      <c r="C74" s="92"/>
    </row>
    <row r="75" spans="1:3" x14ac:dyDescent="0.25">
      <c r="A75" s="95"/>
      <c r="C75" s="92"/>
    </row>
    <row r="76" spans="1:3" x14ac:dyDescent="0.25">
      <c r="A76" s="95"/>
      <c r="C76" s="92"/>
    </row>
    <row r="77" spans="1:3" x14ac:dyDescent="0.25">
      <c r="A77" s="95"/>
      <c r="C77" s="92"/>
    </row>
    <row r="78" spans="1:3" x14ac:dyDescent="0.25">
      <c r="A78" s="95"/>
      <c r="C78" s="92"/>
    </row>
    <row r="79" spans="1:3" x14ac:dyDescent="0.25">
      <c r="A79" s="95"/>
      <c r="C79" s="92"/>
    </row>
    <row r="80" spans="1:3" x14ac:dyDescent="0.25">
      <c r="A80" s="95"/>
      <c r="C80" s="92"/>
    </row>
    <row r="81" spans="1:3" x14ac:dyDescent="0.25">
      <c r="A81" s="95"/>
      <c r="C81" s="92"/>
    </row>
    <row r="82" spans="1:3" x14ac:dyDescent="0.25">
      <c r="A82" s="95"/>
      <c r="C82" s="92"/>
    </row>
    <row r="83" spans="1:3" x14ac:dyDescent="0.25">
      <c r="A83" s="95"/>
      <c r="C83" s="92"/>
    </row>
    <row r="84" spans="1:3" x14ac:dyDescent="0.25">
      <c r="A84" s="95"/>
      <c r="C84" s="92"/>
    </row>
    <row r="85" spans="1:3" x14ac:dyDescent="0.25">
      <c r="A85" s="95"/>
      <c r="C85" s="92"/>
    </row>
    <row r="86" spans="1:3" x14ac:dyDescent="0.25">
      <c r="A86" s="95"/>
      <c r="C86" s="92"/>
    </row>
    <row r="87" spans="1:3" x14ac:dyDescent="0.25">
      <c r="A87" s="95"/>
      <c r="C87" s="92"/>
    </row>
    <row r="88" spans="1:3" x14ac:dyDescent="0.25">
      <c r="A88" s="95"/>
      <c r="C88" s="92"/>
    </row>
    <row r="89" spans="1:3" x14ac:dyDescent="0.25">
      <c r="A89" s="95"/>
      <c r="C89" s="92"/>
    </row>
    <row r="90" spans="1:3" x14ac:dyDescent="0.25">
      <c r="A90" s="95"/>
      <c r="C90" s="92"/>
    </row>
    <row r="91" spans="1:3" x14ac:dyDescent="0.25">
      <c r="A91" s="95"/>
      <c r="C91" s="92"/>
    </row>
    <row r="92" spans="1:3" x14ac:dyDescent="0.25">
      <c r="A92" s="95"/>
      <c r="C92" s="92"/>
    </row>
    <row r="93" spans="1:3" x14ac:dyDescent="0.25">
      <c r="A93" s="95"/>
      <c r="C93" s="92"/>
    </row>
    <row r="94" spans="1:3" x14ac:dyDescent="0.25">
      <c r="A94" s="95"/>
      <c r="C94" s="92"/>
    </row>
    <row r="95" spans="1:3" x14ac:dyDescent="0.25">
      <c r="A95" s="95"/>
      <c r="C95" s="92"/>
    </row>
    <row r="96" spans="1:3" x14ac:dyDescent="0.25">
      <c r="A96" s="95"/>
      <c r="C96" s="92"/>
    </row>
    <row r="97" spans="1:3" x14ac:dyDescent="0.25">
      <c r="A97" s="95"/>
      <c r="C97" s="92"/>
    </row>
    <row r="98" spans="1:3" x14ac:dyDescent="0.25">
      <c r="A98" s="95"/>
      <c r="C98" s="92"/>
    </row>
    <row r="99" spans="1:3" x14ac:dyDescent="0.25">
      <c r="A99" s="95"/>
      <c r="C99" s="92"/>
    </row>
    <row r="100" spans="1:3" x14ac:dyDescent="0.25">
      <c r="A100" s="95"/>
      <c r="C100" s="92"/>
    </row>
    <row r="101" spans="1:3" x14ac:dyDescent="0.25">
      <c r="A101" s="95"/>
      <c r="C101" s="92"/>
    </row>
    <row r="102" spans="1:3" x14ac:dyDescent="0.25">
      <c r="A102" s="95"/>
      <c r="C102" s="92"/>
    </row>
    <row r="103" spans="1:3" x14ac:dyDescent="0.25">
      <c r="A103" s="95"/>
      <c r="C103" s="92"/>
    </row>
    <row r="104" spans="1:3" x14ac:dyDescent="0.25">
      <c r="A104" s="95"/>
      <c r="C104" s="92"/>
    </row>
    <row r="105" spans="1:3" x14ac:dyDescent="0.25">
      <c r="A105" s="95"/>
      <c r="C105" s="92"/>
    </row>
    <row r="106" spans="1:3" x14ac:dyDescent="0.25">
      <c r="A106" s="95"/>
      <c r="C106" s="92"/>
    </row>
    <row r="107" spans="1:3" x14ac:dyDescent="0.25">
      <c r="A107" s="95"/>
      <c r="C107" s="92"/>
    </row>
    <row r="108" spans="1:3" x14ac:dyDescent="0.25">
      <c r="A108" s="95"/>
      <c r="C108" s="92"/>
    </row>
    <row r="109" spans="1:3" x14ac:dyDescent="0.25">
      <c r="A109" s="95"/>
      <c r="C109" s="92"/>
    </row>
    <row r="110" spans="1:3" x14ac:dyDescent="0.25">
      <c r="A110" s="95"/>
      <c r="C110" s="92"/>
    </row>
    <row r="111" spans="1:3" x14ac:dyDescent="0.25">
      <c r="A111" s="95"/>
      <c r="C111" s="92"/>
    </row>
    <row r="112" spans="1:3" x14ac:dyDescent="0.25">
      <c r="A112" s="95"/>
      <c r="C112" s="92"/>
    </row>
    <row r="113" spans="1:3" x14ac:dyDescent="0.25">
      <c r="A113" s="95"/>
      <c r="C113" s="92"/>
    </row>
    <row r="114" spans="1:3" x14ac:dyDescent="0.25">
      <c r="A114" s="95"/>
      <c r="C114" s="92"/>
    </row>
  </sheetData>
  <mergeCells count="12">
    <mergeCell ref="F8:H8"/>
    <mergeCell ref="B4:D4"/>
    <mergeCell ref="F5:H5"/>
    <mergeCell ref="F6:H6"/>
    <mergeCell ref="F7:H7"/>
    <mergeCell ref="F16:H16"/>
    <mergeCell ref="F9:H9"/>
    <mergeCell ref="B11:D11"/>
    <mergeCell ref="F12:H12"/>
    <mergeCell ref="F13:H13"/>
    <mergeCell ref="F14:H14"/>
    <mergeCell ref="F15:H15"/>
  </mergeCells>
  <pageMargins left="0.74803149606299213" right="0.74803149606299213" top="0.98425196850393704" bottom="0.98425196850393704" header="0.51181102362204722" footer="0.51181102362204722"/>
  <pageSetup scale="76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Risk Assessment Data</vt:lpstr>
      <vt:lpstr>Risk Matrix</vt:lpstr>
      <vt:lpstr>Heat Map</vt:lpstr>
      <vt:lpstr>Risk Ratings</vt:lpstr>
      <vt:lpstr>'Heat Map'!Print_Area</vt:lpstr>
      <vt:lpstr>'Risk Assessment Data'!Print_Area</vt:lpstr>
      <vt:lpstr>'Risk Matrix'!Print_Area</vt:lpstr>
      <vt:lpstr>'Risk Ratings'!Print_Area</vt:lpstr>
      <vt:lpstr>'Risk Assessment Data'!Print_Titles</vt:lpstr>
    </vt:vector>
  </TitlesOfParts>
  <Company>Execution-Noble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Risk Management Guru</dc:creator>
  <cp:lastModifiedBy>Peleke Sengstacke</cp:lastModifiedBy>
  <cp:lastPrinted>2015-02-16T13:03:41Z</cp:lastPrinted>
  <dcterms:created xsi:type="dcterms:W3CDTF">2012-04-26T07:52:35Z</dcterms:created>
  <dcterms:modified xsi:type="dcterms:W3CDTF">2019-05-05T19:48:44Z</dcterms:modified>
</cp:coreProperties>
</file>